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Tracker" sheetId="2" state="visible" r:id="rId4"/>
    <sheet name="Summary" sheetId="3" state="visible" r:id="rId5"/>
    <sheet name="Lists" sheetId="4" state="visible" r:id="rId6"/>
  </sheets>
  <definedNames>
    <definedName function="false" hidden="true" localSheetId="1" name="_xlnm._FilterDatabase" vbProcedure="false">Tracker!$A$1:$P$1000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<sst xmlns="http://schemas.openxmlformats.org/spreadsheetml/2006/main" count="129" uniqueCount="107">
  <si>
    <t xml:space="preserve">Job Tracker</t>
  </si>
  <si>
    <t xml:space="preserve">A simple way to keep every job you find, apply to and hear back from in one place. No coding needed.</t>
  </si>
  <si>
    <t xml:space="preserve">1. Put it in Google Sheets (2 minutes)</t>
  </si>
  <si>
    <t xml:space="preserve">• Go to drive.google.com → New → File upload, and pick this file.</t>
  </si>
  <si>
    <t xml:space="preserve">• Open it, then choose File → Save as Google Sheets. Work in that new copy.</t>
  </si>
  <si>
    <t xml:space="preserve">• Or: open sheets.google.com → Blank → File → Import → Upload → "Replace spreadsheet".</t>
  </si>
  <si>
    <t xml:space="preserve">• Works in Excel and Numbers too, if you'd rather keep it on your computer.</t>
  </si>
  <si>
    <t xml:space="preserve">2. Add a job (one row per job)</t>
  </si>
  <si>
    <t xml:space="preserve">• Go to the Tracker tab. The 4 gray example rows show the format. Delete them when you're ready (right-click the row numbers → Delete rows).</t>
  </si>
  <si>
    <t xml:space="preserve">• Fill in what you know. Only Company, Title, Link and Status really matter. The rest helps you decide.</t>
  </si>
  <si>
    <t xml:space="preserve">• Status, Track and Match have dropdowns, so click the cell and pick.</t>
  </si>
  <si>
    <t xml:space="preserve">• Dates: type them like 2026-10-22, or press Ctrl+; (Cmd+; on Mac) for today.</t>
  </si>
  <si>
    <t xml:space="preserve">3. What each column means</t>
  </si>
  <si>
    <t xml:space="preserve">• Match (1-5): Your gut score. 5 = I'd take this tomorrow, 3 = worth a look, 1 = probably not.</t>
  </si>
  <si>
    <t xml:space="preserve">• Why It Fits: One sentence: what lines up with you, and any gap. Future you will thank you in interviews.</t>
  </si>
  <si>
    <t xml:space="preserve">• Status: Where it stands (see below). Change it every time something happens.</t>
  </si>
  <si>
    <t xml:space="preserve">• Tailored Resume: Which version of your resume you sent (file name or link).</t>
  </si>
  <si>
    <t xml:space="preserve">• Track: The kind of role, if you're looking at more than one (for example SWE, Cloud, Cyber). Edit the list on the Lists tab.</t>
  </si>
  <si>
    <t xml:space="preserve">• Follow-Up Date: When to check in if you haven't heard back. A week or two after applying is normal.</t>
  </si>
  <si>
    <t xml:space="preserve">4. Statuses</t>
  </si>
  <si>
    <t xml:space="preserve">• To Review: Found it, haven't decided.</t>
  </si>
  <si>
    <t xml:space="preserve">• Approved: Want to apply. Get the resume ready.</t>
  </si>
  <si>
    <t xml:space="preserve">• Applied: Sent. Add the Date Applied.</t>
  </si>
  <si>
    <t xml:space="preserve">• Interviewing: Heard back. Keep notes on each round.</t>
  </si>
  <si>
    <t xml:space="preserve">• Offer: 🎉</t>
  </si>
  <si>
    <t xml:space="preserve">• Rejected: It's a numbers game. Note anything you learned.</t>
  </si>
  <si>
    <t xml:space="preserve">• Skipped: Decided not to apply.</t>
  </si>
  <si>
    <t xml:space="preserve">5. The Summary tab</t>
  </si>
  <si>
    <t xml:space="preserve">• It counts everything for you: how many you've applied to, how many replied, and how you're doing this week. Don't type in it; it updates on its own.</t>
  </si>
  <si>
    <t xml:space="preserve">Tips</t>
  </si>
  <si>
    <t xml:space="preserve">• Use Data → Create a filter (Google Sheets) to show only "To Review" or one Track at a time.</t>
  </si>
  <si>
    <t xml:space="preserve">• Set a weekly goal (for example 10 applications) and check the Summary tab every Friday.</t>
  </si>
  <si>
    <t xml:space="preserve">• Keep this sheet private. It has your job search in it. Share a copy only if you mean to.</t>
  </si>
  <si>
    <t xml:space="preserve">• Want the automated version that finds and scores jobs for you? See the GitHub repo: github.com/SincerelyBrittany/job-tracker-for-all</t>
  </si>
  <si>
    <t xml:space="preserve">Date Found</t>
  </si>
  <si>
    <t xml:space="preserve">Company</t>
  </si>
  <si>
    <t xml:space="preserve">Title</t>
  </si>
  <si>
    <t xml:space="preserve">Location/Remote</t>
  </si>
  <si>
    <t xml:space="preserve">Salary</t>
  </si>
  <si>
    <t xml:space="preserve">Seniority</t>
  </si>
  <si>
    <t xml:space="preserve">Match (1-5)</t>
  </si>
  <si>
    <t xml:space="preserve">Why It Fits</t>
  </si>
  <si>
    <t xml:space="preserve">Link</t>
  </si>
  <si>
    <t xml:space="preserve">Source</t>
  </si>
  <si>
    <t xml:space="preserve">Status</t>
  </si>
  <si>
    <t xml:space="preserve">Tailored Resume</t>
  </si>
  <si>
    <t xml:space="preserve">Date Applied</t>
  </si>
  <si>
    <t xml:space="preserve">Notes</t>
  </si>
  <si>
    <t xml:space="preserve">Track</t>
  </si>
  <si>
    <t xml:space="preserve">Follow-Up Date</t>
  </si>
  <si>
    <t xml:space="preserve">Example Health</t>
  </si>
  <si>
    <t xml:space="preserve">Frontend Engineer</t>
  </si>
  <si>
    <t xml:space="preserve">Remote (US)</t>
  </si>
  <si>
    <t xml:space="preserve">$110,000–$130,000</t>
  </si>
  <si>
    <t xml:space="preserve">Mid</t>
  </si>
  <si>
    <t xml:space="preserve">React + TypeScript, health-tech mission, salary above my floor.</t>
  </si>
  <si>
    <t xml:space="preserve">https://example.com/jobs/frontend-engineer</t>
  </si>
  <si>
    <t xml:space="preserve">Job board</t>
  </si>
  <si>
    <t xml:space="preserve">Applied</t>
  </si>
  <si>
    <t xml:space="preserve">Resume-Frontend-v2.pdf</t>
  </si>
  <si>
    <t xml:space="preserve">EXAMPLE ROW: delete me. Referral from a former teammate.</t>
  </si>
  <si>
    <t xml:space="preserve">SWE</t>
  </si>
  <si>
    <t xml:space="preserve">Sample Cloud Co</t>
  </si>
  <si>
    <t xml:space="preserve">Associate Cloud Engineer</t>
  </si>
  <si>
    <t xml:space="preserve">Not listed</t>
  </si>
  <si>
    <t xml:space="preserve">Associate</t>
  </si>
  <si>
    <t xml:space="preserve">Entry-level cloud; AWS + Docker listed.</t>
  </si>
  <si>
    <t xml:space="preserve">https://example.com/jobs/associate-cloud-engineer</t>
  </si>
  <si>
    <t xml:space="preserve">Company site</t>
  </si>
  <si>
    <t xml:space="preserve">Approved</t>
  </si>
  <si>
    <t xml:space="preserve">EXAMPLE ROW: delete me.</t>
  </si>
  <si>
    <t xml:space="preserve">Cloud</t>
  </si>
  <si>
    <t xml:space="preserve">Demo Security Inc</t>
  </si>
  <si>
    <t xml:space="preserve">SOC Analyst I</t>
  </si>
  <si>
    <t xml:space="preserve">$75,000</t>
  </si>
  <si>
    <t xml:space="preserve">Entry</t>
  </si>
  <si>
    <t xml:space="preserve">Good entry point, but pay is under my floor.</t>
  </si>
  <si>
    <t xml:space="preserve">https://example.com/jobs/soc-analyst-1</t>
  </si>
  <si>
    <t xml:space="preserve">LinkedIn</t>
  </si>
  <si>
    <t xml:space="preserve">To Review</t>
  </si>
  <si>
    <t xml:space="preserve">Cyber</t>
  </si>
  <si>
    <t xml:space="preserve">Placeholder Fintech</t>
  </si>
  <si>
    <t xml:space="preserve">Full-Stack Engineer</t>
  </si>
  <si>
    <t xml:space="preserve">$125,000</t>
  </si>
  <si>
    <t xml:space="preserve">Node + React, fintech, remote.</t>
  </si>
  <si>
    <t xml:space="preserve">https://example.com/jobs/full-stack-engineer</t>
  </si>
  <si>
    <t xml:space="preserve">Hacker News</t>
  </si>
  <si>
    <t xml:space="preserve">Interviewing</t>
  </si>
  <si>
    <t xml:space="preserve">Resume-FullStack-v1.pdf</t>
  </si>
  <si>
    <t xml:space="preserve">EXAMPLE ROW: delete me. Technical screen Oct 28.</t>
  </si>
  <si>
    <t xml:space="preserve">Your job search at a glance</t>
  </si>
  <si>
    <t xml:space="preserve">Updates automatically from the Tracker tab. Example rows count until you delete them.</t>
  </si>
  <si>
    <t xml:space="preserve">By status</t>
  </si>
  <si>
    <t xml:space="preserve">Jobs tracked</t>
  </si>
  <si>
    <t xml:space="preserve">Applied (so far, any outcome)</t>
  </si>
  <si>
    <t xml:space="preserve">Heard back (interview or offer)</t>
  </si>
  <si>
    <t xml:space="preserve">Response rate</t>
  </si>
  <si>
    <t xml:space="preserve">Applied in the last 7 days</t>
  </si>
  <si>
    <t xml:space="preserve">Offer</t>
  </si>
  <si>
    <t xml:space="preserve">Follow-ups due now</t>
  </si>
  <si>
    <t xml:space="preserve">Rejected</t>
  </si>
  <si>
    <t xml:space="preserve">Weekly goal (edit me)</t>
  </si>
  <si>
    <t xml:space="preserve">Skipped</t>
  </si>
  <si>
    <t xml:space="preserve">Progress to weekly goal</t>
  </si>
  <si>
    <t xml:space="preserve">By track</t>
  </si>
  <si>
    <t xml:space="preserve">Edit the Track list to fit your search (up to 10). Leave Status as is; the Summary tab counts these names.</t>
  </si>
  <si>
    <t xml:space="preserve">Other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</si>
</sst>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"/>
    <numFmt numFmtId="167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7313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3"/>
      <color rgb="FF27313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7F7F7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7313F"/>
        <bgColor rgb="FF333300"/>
      </patternFill>
    </fill>
    <fill>
      <patternFill patternType="solid">
        <fgColor rgb="FFF2F2F2"/>
        <bgColor rgb="FFEDEDED"/>
      </patternFill>
    </fill>
    <fill>
      <patternFill patternType="solid">
        <fgColor rgb="FFFFF8E1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27313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EDEDED"/>
        </patternFill>
      </fill>
    </dxf>
    <dxf>
      <fill>
        <patternFill>
          <bgColor rgb="FFE2EFDA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FC7CE"/>
      <rgbColor rgb="FF7F7F7F"/>
      <rgbColor rgb="FF9999FF"/>
      <rgbColor rgb="FF993366"/>
      <rgbColor rgb="FFFFF8E1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2CC"/>
      <rgbColor rgb="FFEDEDED"/>
      <rgbColor rgb="FFF2F2F2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731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xample.com/jobs/frontend-engineer" TargetMode="External"/><Relationship Id="rId2" Type="http://schemas.openxmlformats.org/officeDocument/2006/relationships/hyperlink" Target="https://example.com/jobs/associate-cloud-engineer" TargetMode="External"/><Relationship Id="rId3" Type="http://schemas.openxmlformats.org/officeDocument/2006/relationships/hyperlink" Target="https://example.com/jobs/soc-analyst-1" TargetMode="External"/><Relationship Id="rId4" Type="http://schemas.openxmlformats.org/officeDocument/2006/relationships/hyperlink" Target="https://example.com/jobs/full-stack-engineer" TargetMode="External"/><Relationship Id="rId5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30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9.5" hidden="false" customHeight="tru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 t="s">
        <v>6</v>
      </c>
    </row>
    <row r="11" customFormat="false" ht="19.5" hidden="false" customHeight="true" outlineLevel="0" collapsed="false">
      <c r="B11" s="3" t="s">
        <v>7</v>
      </c>
    </row>
    <row r="12" customFormat="false" ht="23.8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4" t="s">
        <v>11</v>
      </c>
    </row>
    <row r="17" customFormat="false" ht="19.5" hidden="false" customHeight="true" outlineLevel="0" collapsed="false">
      <c r="B17" s="3" t="s">
        <v>12</v>
      </c>
    </row>
    <row r="18" customFormat="false" ht="15" hidden="false" customHeight="false" outlineLevel="0" collapsed="false">
      <c r="B18" s="4" t="s">
        <v>13</v>
      </c>
    </row>
    <row r="19" customFormat="false" ht="15" hidden="false" customHeight="false" outlineLevel="0" collapsed="false">
      <c r="B19" s="4" t="s">
        <v>14</v>
      </c>
    </row>
    <row r="20" customFormat="false" ht="15" hidden="false" customHeight="false" outlineLevel="0" collapsed="false">
      <c r="B20" s="4" t="s">
        <v>15</v>
      </c>
    </row>
    <row r="21" customFormat="false" ht="15" hidden="false" customHeight="false" outlineLevel="0" collapsed="false">
      <c r="B21" s="4" t="s">
        <v>16</v>
      </c>
    </row>
    <row r="22" customFormat="false" ht="15" hidden="false" customHeight="false" outlineLevel="0" collapsed="false">
      <c r="B22" s="4" t="s">
        <v>17</v>
      </c>
    </row>
    <row r="23" customFormat="false" ht="15" hidden="false" customHeight="false" outlineLevel="0" collapsed="false">
      <c r="B23" s="4" t="s">
        <v>18</v>
      </c>
    </row>
    <row r="25" customFormat="false" ht="19.5" hidden="false" customHeight="true" outlineLevel="0" collapsed="false">
      <c r="B25" s="3" t="s">
        <v>19</v>
      </c>
    </row>
    <row r="26" customFormat="false" ht="15" hidden="false" customHeight="false" outlineLevel="0" collapsed="false">
      <c r="B26" s="4" t="s">
        <v>20</v>
      </c>
    </row>
    <row r="27" customFormat="false" ht="15" hidden="false" customHeight="false" outlineLevel="0" collapsed="false">
      <c r="B27" s="4" t="s">
        <v>21</v>
      </c>
    </row>
    <row r="28" customFormat="false" ht="15" hidden="false" customHeight="false" outlineLevel="0" collapsed="false">
      <c r="B28" s="4" t="s">
        <v>22</v>
      </c>
    </row>
    <row r="29" customFormat="false" ht="15" hidden="false" customHeight="false" outlineLevel="0" collapsed="false">
      <c r="B29" s="4" t="s">
        <v>23</v>
      </c>
    </row>
    <row r="30" customFormat="false" ht="15" hidden="false" customHeight="false" outlineLevel="0" collapsed="false">
      <c r="B30" s="4" t="s">
        <v>24</v>
      </c>
    </row>
    <row r="31" customFormat="false" ht="15" hidden="false" customHeight="false" outlineLevel="0" collapsed="false">
      <c r="B31" s="4" t="s">
        <v>25</v>
      </c>
    </row>
    <row r="32" customFormat="false" ht="15" hidden="false" customHeight="false" outlineLevel="0" collapsed="false">
      <c r="B32" s="4" t="s">
        <v>26</v>
      </c>
    </row>
    <row r="34" customFormat="false" ht="19.5" hidden="false" customHeight="true" outlineLevel="0" collapsed="false">
      <c r="B34" s="3" t="s">
        <v>27</v>
      </c>
    </row>
    <row r="35" customFormat="false" ht="23.85" hidden="false" customHeight="false" outlineLevel="0" collapsed="false">
      <c r="B35" s="4" t="s">
        <v>28</v>
      </c>
    </row>
    <row r="37" customFormat="false" ht="19.5" hidden="false" customHeight="true" outlineLevel="0" collapsed="false">
      <c r="B37" s="3" t="s">
        <v>29</v>
      </c>
    </row>
    <row r="38" customFormat="false" ht="15" hidden="false" customHeight="false" outlineLevel="0" collapsed="false">
      <c r="B38" s="4" t="s">
        <v>30</v>
      </c>
    </row>
    <row r="39" customFormat="false" ht="15" hidden="false" customHeight="false" outlineLevel="0" collapsed="false">
      <c r="B39" s="4" t="s">
        <v>31</v>
      </c>
    </row>
    <row r="40" customFormat="false" ht="15" hidden="false" customHeight="false" outlineLevel="0" collapsed="false">
      <c r="B40" s="4" t="s">
        <v>32</v>
      </c>
    </row>
    <row r="41" customFormat="false" ht="23.85" hidden="false" customHeight="false" outlineLevel="0" collapsed="false">
      <c r="B41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5" min="4" style="0" width="18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44"/>
    <col collapsed="false" customWidth="true" hidden="false" outlineLevel="0" max="9" min="9" style="0" width="36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26"/>
    <col collapsed="false" customWidth="true" hidden="false" outlineLevel="0" max="13" min="13" style="0" width="13"/>
    <col collapsed="false" customWidth="true" hidden="false" outlineLevel="0" max="14" min="14" style="0" width="36"/>
    <col collapsed="false" customWidth="true" hidden="false" outlineLevel="0" max="15" min="15" style="0" width="10"/>
    <col collapsed="false" customWidth="true" hidden="false" outlineLevel="0" max="16" min="16" style="0" width="13"/>
  </cols>
  <sheetData>
    <row r="1" customFormat="false" ht="30" hidden="false" customHeight="true" outlineLevel="0" collapsed="false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5" t="s">
        <v>45</v>
      </c>
      <c r="M1" s="5" t="s">
        <v>46</v>
      </c>
      <c r="N1" s="5" t="s">
        <v>47</v>
      </c>
      <c r="O1" s="5" t="s">
        <v>48</v>
      </c>
      <c r="P1" s="5" t="s">
        <v>49</v>
      </c>
    </row>
    <row r="2" customFormat="false" ht="23.85" hidden="false" customHeight="false" outlineLevel="0" collapsed="false">
      <c r="A2" s="6" t="n">
        <v>46315</v>
      </c>
      <c r="B2" s="7" t="s">
        <v>50</v>
      </c>
      <c r="C2" s="7" t="s">
        <v>51</v>
      </c>
      <c r="D2" s="7" t="s">
        <v>52</v>
      </c>
      <c r="E2" s="7" t="s">
        <v>53</v>
      </c>
      <c r="F2" s="7" t="s">
        <v>54</v>
      </c>
      <c r="G2" s="7" t="n">
        <v>5</v>
      </c>
      <c r="H2" s="7" t="s">
        <v>55</v>
      </c>
      <c r="I2" s="7" t="s">
        <v>56</v>
      </c>
      <c r="J2" s="7" t="s">
        <v>57</v>
      </c>
      <c r="K2" s="7" t="s">
        <v>58</v>
      </c>
      <c r="L2" s="7" t="s">
        <v>59</v>
      </c>
      <c r="M2" s="6" t="n">
        <v>46316</v>
      </c>
      <c r="N2" s="7" t="s">
        <v>60</v>
      </c>
      <c r="O2" s="7" t="s">
        <v>61</v>
      </c>
      <c r="P2" s="6" t="n">
        <v>46330</v>
      </c>
    </row>
    <row r="3" customFormat="false" ht="15" hidden="false" customHeight="false" outlineLevel="0" collapsed="false">
      <c r="A3" s="6" t="n">
        <v>46315</v>
      </c>
      <c r="B3" s="7" t="s">
        <v>62</v>
      </c>
      <c r="C3" s="7" t="s">
        <v>63</v>
      </c>
      <c r="D3" s="7" t="s">
        <v>52</v>
      </c>
      <c r="E3" s="7" t="s">
        <v>64</v>
      </c>
      <c r="F3" s="7" t="s">
        <v>65</v>
      </c>
      <c r="G3" s="7" t="n">
        <v>4</v>
      </c>
      <c r="H3" s="7" t="s">
        <v>66</v>
      </c>
      <c r="I3" s="7" t="s">
        <v>67</v>
      </c>
      <c r="J3" s="7" t="s">
        <v>68</v>
      </c>
      <c r="K3" s="7" t="s">
        <v>69</v>
      </c>
      <c r="L3" s="7"/>
      <c r="M3" s="6"/>
      <c r="N3" s="7" t="s">
        <v>70</v>
      </c>
      <c r="O3" s="7" t="s">
        <v>71</v>
      </c>
      <c r="P3" s="6"/>
    </row>
    <row r="4" customFormat="false" ht="15" hidden="false" customHeight="false" outlineLevel="0" collapsed="false">
      <c r="A4" s="6" t="n">
        <v>46314</v>
      </c>
      <c r="B4" s="7" t="s">
        <v>72</v>
      </c>
      <c r="C4" s="7" t="s">
        <v>73</v>
      </c>
      <c r="D4" s="7" t="s">
        <v>52</v>
      </c>
      <c r="E4" s="7" t="s">
        <v>74</v>
      </c>
      <c r="F4" s="7" t="s">
        <v>75</v>
      </c>
      <c r="G4" s="7" t="n">
        <v>3</v>
      </c>
      <c r="H4" s="7" t="s">
        <v>76</v>
      </c>
      <c r="I4" s="7" t="s">
        <v>77</v>
      </c>
      <c r="J4" s="7" t="s">
        <v>78</v>
      </c>
      <c r="K4" s="7" t="s">
        <v>79</v>
      </c>
      <c r="L4" s="7"/>
      <c r="M4" s="6"/>
      <c r="N4" s="7" t="s">
        <v>70</v>
      </c>
      <c r="O4" s="7" t="s">
        <v>80</v>
      </c>
      <c r="P4" s="6"/>
    </row>
    <row r="5" customFormat="false" ht="23.85" hidden="false" customHeight="false" outlineLevel="0" collapsed="false">
      <c r="A5" s="6" t="n">
        <v>46313</v>
      </c>
      <c r="B5" s="7" t="s">
        <v>81</v>
      </c>
      <c r="C5" s="7" t="s">
        <v>82</v>
      </c>
      <c r="D5" s="7" t="s">
        <v>52</v>
      </c>
      <c r="E5" s="7" t="s">
        <v>83</v>
      </c>
      <c r="F5" s="7" t="s">
        <v>54</v>
      </c>
      <c r="G5" s="7" t="n">
        <v>4</v>
      </c>
      <c r="H5" s="7" t="s">
        <v>84</v>
      </c>
      <c r="I5" s="7" t="s">
        <v>85</v>
      </c>
      <c r="J5" s="7" t="s">
        <v>86</v>
      </c>
      <c r="K5" s="7" t="s">
        <v>87</v>
      </c>
      <c r="L5" s="7" t="s">
        <v>88</v>
      </c>
      <c r="M5" s="6" t="n">
        <v>46307</v>
      </c>
      <c r="N5" s="7" t="s">
        <v>89</v>
      </c>
      <c r="O5" s="7" t="s">
        <v>61</v>
      </c>
      <c r="P5" s="6" t="n">
        <v>46323</v>
      </c>
    </row>
    <row r="6" customFormat="false" ht="15" hidden="false" customHeight="false" outlineLevel="0" collapsed="false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8"/>
      <c r="N6" s="9"/>
      <c r="O6" s="9"/>
      <c r="P6" s="8"/>
    </row>
    <row r="7" customFormat="false" ht="15" hidden="false" customHeight="false" outlineLevel="0" collapsed="false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8"/>
      <c r="N7" s="9"/>
      <c r="O7" s="9"/>
      <c r="P7" s="8"/>
    </row>
    <row r="8" customFormat="false" ht="15" hidden="false" customHeight="false" outlineLevel="0" collapsed="false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8"/>
      <c r="N8" s="9"/>
      <c r="O8" s="9"/>
      <c r="P8" s="8"/>
    </row>
    <row r="9" customFormat="false" ht="15" hidden="false" customHeight="false" outlineLevel="0" collapsed="false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8"/>
      <c r="N9" s="9"/>
      <c r="O9" s="9"/>
      <c r="P9" s="8"/>
    </row>
    <row r="10" customFormat="false" ht="15" hidden="false" customHeight="false" outlineLevel="0" collapsed="false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8"/>
      <c r="N10" s="9"/>
      <c r="O10" s="9"/>
      <c r="P10" s="8"/>
    </row>
    <row r="11" customFormat="false" ht="15" hidden="false" customHeight="false" outlineLevel="0" collapsed="false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8"/>
      <c r="N11" s="9"/>
      <c r="O11" s="9"/>
      <c r="P11" s="8"/>
    </row>
    <row r="12" customFormat="false" ht="15" hidden="false" customHeight="false" outlineLevel="0" collapsed="false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8"/>
      <c r="N12" s="9"/>
      <c r="O12" s="9"/>
      <c r="P12" s="8"/>
    </row>
    <row r="13" customFormat="false" ht="15" hidden="false" customHeight="false" outlineLevel="0" collapsed="false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8"/>
      <c r="N13" s="9"/>
      <c r="O13" s="9"/>
      <c r="P13" s="8"/>
    </row>
    <row r="14" customFormat="false" ht="15" hidden="false" customHeight="false" outlineLevel="0" collapsed="false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8"/>
      <c r="N14" s="9"/>
      <c r="O14" s="9"/>
      <c r="P14" s="8"/>
    </row>
    <row r="15" customFormat="false" ht="15" hidden="false" customHeight="false" outlineLevel="0" collapsed="false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8"/>
      <c r="N15" s="9"/>
      <c r="O15" s="9"/>
      <c r="P15" s="8"/>
    </row>
    <row r="16" customFormat="false" ht="15" hidden="false" customHeight="false" outlineLevel="0" collapsed="false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8"/>
      <c r="N16" s="9"/>
      <c r="O16" s="9"/>
      <c r="P16" s="8"/>
    </row>
    <row r="17" customFormat="false" ht="15" hidden="false" customHeight="false" outlineLevel="0" collapsed="false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8"/>
      <c r="N17" s="9"/>
      <c r="O17" s="9"/>
      <c r="P17" s="8"/>
    </row>
    <row r="18" customFormat="false" ht="15" hidden="false" customHeight="false" outlineLevel="0" collapsed="false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8"/>
      <c r="N18" s="9"/>
      <c r="O18" s="9"/>
      <c r="P18" s="8"/>
    </row>
    <row r="19" customFormat="false" ht="15" hidden="false" customHeight="false" outlineLevel="0" collapsed="false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8"/>
      <c r="N19" s="9"/>
      <c r="O19" s="9"/>
      <c r="P19" s="8"/>
    </row>
    <row r="20" customFormat="false" ht="15" hidden="false" customHeight="false" outlineLevel="0" collapsed="false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8"/>
      <c r="N20" s="9"/>
      <c r="O20" s="9"/>
      <c r="P20" s="8"/>
    </row>
    <row r="21" customFormat="false" ht="15" hidden="false" customHeight="false" outlineLevel="0" collapsed="false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8"/>
      <c r="N21" s="9"/>
      <c r="O21" s="9"/>
      <c r="P21" s="8"/>
    </row>
    <row r="22" customFormat="false" ht="15" hidden="false" customHeight="false" outlineLevel="0" collapsed="false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8"/>
      <c r="N22" s="9"/>
      <c r="O22" s="9"/>
      <c r="P22" s="8"/>
    </row>
    <row r="23" customFormat="false" ht="15" hidden="false" customHeight="false" outlineLevel="0" collapsed="false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8"/>
      <c r="N23" s="9"/>
      <c r="O23" s="9"/>
      <c r="P23" s="8"/>
    </row>
    <row r="24" customFormat="false" ht="15" hidden="false" customHeight="false" outlineLevel="0" collapsed="false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8"/>
      <c r="N24" s="9"/>
      <c r="O24" s="9"/>
      <c r="P24" s="8"/>
    </row>
    <row r="25" customFormat="false" ht="15" hidden="false" customHeight="false" outlineLevel="0" collapsed="false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8"/>
      <c r="N25" s="9"/>
      <c r="O25" s="9"/>
      <c r="P25" s="8"/>
    </row>
    <row r="26" customFormat="false" ht="15" hidden="false" customHeight="false" outlineLevel="0" collapsed="false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8"/>
      <c r="N26" s="9"/>
      <c r="O26" s="9"/>
      <c r="P26" s="8"/>
    </row>
    <row r="27" customFormat="false" ht="15" hidden="false" customHeight="false" outlineLevel="0" collapsed="false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8"/>
      <c r="N27" s="9"/>
      <c r="O27" s="9"/>
      <c r="P27" s="8"/>
    </row>
    <row r="28" customFormat="false" ht="15" hidden="false" customHeight="false" outlineLevel="0" collapsed="false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8"/>
      <c r="N28" s="9"/>
      <c r="O28" s="9"/>
      <c r="P28" s="8"/>
    </row>
    <row r="29" customFormat="false" ht="15" hidden="false" customHeight="false" outlineLevel="0" collapsed="false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8"/>
      <c r="N29" s="9"/>
      <c r="O29" s="9"/>
      <c r="P29" s="8"/>
    </row>
    <row r="30" customFormat="false" ht="15" hidden="false" customHeight="false" outlineLevel="0" collapsed="false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8"/>
      <c r="N30" s="9"/>
      <c r="O30" s="9"/>
      <c r="P30" s="8"/>
    </row>
    <row r="31" customFormat="false" ht="15" hidden="false" customHeight="false" outlineLevel="0" collapsed="false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8"/>
      <c r="N31" s="9"/>
      <c r="O31" s="9"/>
      <c r="P31" s="8"/>
    </row>
    <row r="32" customFormat="false" ht="15" hidden="false" customHeight="false" outlineLevel="0" collapsed="false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8"/>
      <c r="N32" s="9"/>
      <c r="O32" s="9"/>
      <c r="P32" s="8"/>
    </row>
    <row r="33" customFormat="false" ht="15" hidden="false" customHeight="false" outlineLevel="0" collapsed="false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8"/>
      <c r="N33" s="9"/>
      <c r="O33" s="9"/>
      <c r="P33" s="8"/>
    </row>
    <row r="34" customFormat="false" ht="15" hidden="false" customHeight="false" outlineLevel="0" collapsed="false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8"/>
      <c r="N34" s="9"/>
      <c r="O34" s="9"/>
      <c r="P34" s="8"/>
    </row>
    <row r="35" customFormat="false" ht="15" hidden="false" customHeight="false" outlineLevel="0" collapsed="false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8"/>
      <c r="N35" s="9"/>
      <c r="O35" s="9"/>
      <c r="P35" s="8"/>
    </row>
    <row r="36" customFormat="false" ht="15" hidden="false" customHeight="false" outlineLevel="0" collapsed="false">
      <c r="A36" s="8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8"/>
      <c r="N36" s="9"/>
      <c r="O36" s="9"/>
      <c r="P36" s="8"/>
    </row>
    <row r="37" customFormat="false" ht="15" hidden="false" customHeight="false" outlineLevel="0" collapsed="false">
      <c r="A37" s="8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8"/>
      <c r="N37" s="9"/>
      <c r="O37" s="9"/>
      <c r="P37" s="8"/>
    </row>
    <row r="38" customFormat="false" ht="15" hidden="false" customHeight="false" outlineLevel="0" collapsed="false">
      <c r="A38" s="8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8"/>
      <c r="N38" s="9"/>
      <c r="O38" s="9"/>
      <c r="P38" s="8"/>
    </row>
    <row r="39" customFormat="false" ht="15" hidden="false" customHeight="false" outlineLevel="0" collapsed="false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8"/>
      <c r="N39" s="9"/>
      <c r="O39" s="9"/>
      <c r="P39" s="8"/>
    </row>
    <row r="40" customFormat="false" ht="15" hidden="false" customHeight="false" outlineLevel="0" collapsed="false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8"/>
      <c r="N40" s="9"/>
      <c r="O40" s="9"/>
      <c r="P40" s="8"/>
    </row>
    <row r="41" customFormat="false" ht="15" hidden="false" customHeight="false" outlineLevel="0" collapsed="false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8"/>
      <c r="N41" s="9"/>
      <c r="O41" s="9"/>
      <c r="P41" s="8"/>
    </row>
    <row r="42" customFormat="false" ht="15" hidden="false" customHeight="false" outlineLevel="0" collapsed="false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8"/>
      <c r="N42" s="9"/>
      <c r="O42" s="9"/>
      <c r="P42" s="8"/>
    </row>
    <row r="43" customFormat="false" ht="15" hidden="false" customHeight="false" outlineLevel="0" collapsed="false">
      <c r="A43" s="8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8"/>
      <c r="N43" s="9"/>
      <c r="O43" s="9"/>
      <c r="P43" s="8"/>
    </row>
    <row r="44" customFormat="false" ht="15" hidden="false" customHeight="false" outlineLevel="0" collapsed="false">
      <c r="A44" s="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8"/>
      <c r="N44" s="9"/>
      <c r="O44" s="9"/>
      <c r="P44" s="8"/>
    </row>
    <row r="45" customFormat="false" ht="15" hidden="false" customHeight="false" outlineLevel="0" collapsed="false">
      <c r="A45" s="8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8"/>
      <c r="N45" s="9"/>
      <c r="O45" s="9"/>
      <c r="P45" s="8"/>
    </row>
    <row r="46" customFormat="false" ht="15" hidden="false" customHeight="false" outlineLevel="0" collapsed="false">
      <c r="A46" s="8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8"/>
      <c r="N46" s="9"/>
      <c r="O46" s="9"/>
      <c r="P46" s="8"/>
    </row>
    <row r="47" customFormat="false" ht="15" hidden="false" customHeight="false" outlineLevel="0" collapsed="false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8"/>
      <c r="N47" s="9"/>
      <c r="O47" s="9"/>
      <c r="P47" s="8"/>
    </row>
    <row r="48" customFormat="false" ht="15" hidden="false" customHeight="false" outlineLevel="0" collapsed="false">
      <c r="A48" s="8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8"/>
      <c r="N48" s="9"/>
      <c r="O48" s="9"/>
      <c r="P48" s="8"/>
    </row>
    <row r="49" customFormat="false" ht="15" hidden="false" customHeight="false" outlineLevel="0" collapsed="false">
      <c r="A49" s="8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8"/>
      <c r="N49" s="9"/>
      <c r="O49" s="9"/>
      <c r="P49" s="8"/>
    </row>
    <row r="50" customFormat="false" ht="15" hidden="false" customHeight="false" outlineLevel="0" collapsed="false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8"/>
      <c r="N50" s="9"/>
      <c r="O50" s="9"/>
      <c r="P50" s="8"/>
    </row>
    <row r="51" customFormat="false" ht="15" hidden="false" customHeight="false" outlineLevel="0" collapsed="false">
      <c r="A51" s="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8"/>
      <c r="N51" s="9"/>
      <c r="O51" s="9"/>
      <c r="P51" s="8"/>
    </row>
    <row r="52" customFormat="false" ht="15" hidden="false" customHeight="false" outlineLevel="0" collapsed="false">
      <c r="A52" s="8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8"/>
      <c r="N52" s="9"/>
      <c r="O52" s="9"/>
      <c r="P52" s="8"/>
    </row>
    <row r="53" customFormat="false" ht="15" hidden="false" customHeight="false" outlineLevel="0" collapsed="false">
      <c r="A53" s="8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8"/>
      <c r="N53" s="9"/>
      <c r="O53" s="9"/>
      <c r="P53" s="8"/>
    </row>
    <row r="54" customFormat="false" ht="15" hidden="false" customHeight="false" outlineLevel="0" collapsed="false">
      <c r="A54" s="8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8"/>
      <c r="N54" s="9"/>
      <c r="O54" s="9"/>
      <c r="P54" s="8"/>
    </row>
    <row r="55" customFormat="false" ht="15" hidden="false" customHeight="false" outlineLevel="0" collapsed="false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8"/>
      <c r="N55" s="9"/>
      <c r="O55" s="9"/>
      <c r="P55" s="8"/>
    </row>
    <row r="56" customFormat="false" ht="15" hidden="false" customHeight="false" outlineLevel="0" collapsed="false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8"/>
      <c r="N56" s="9"/>
      <c r="O56" s="9"/>
      <c r="P56" s="8"/>
    </row>
    <row r="57" customFormat="false" ht="15" hidden="false" customHeight="false" outlineLevel="0" collapsed="false">
      <c r="A57" s="8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8"/>
      <c r="N57" s="9"/>
      <c r="O57" s="9"/>
      <c r="P57" s="8"/>
    </row>
    <row r="58" customFormat="false" ht="15" hidden="false" customHeight="false" outlineLevel="0" collapsed="false">
      <c r="A58" s="8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8"/>
      <c r="N58" s="9"/>
      <c r="O58" s="9"/>
      <c r="P58" s="8"/>
    </row>
    <row r="59" customFormat="false" ht="15" hidden="false" customHeight="false" outlineLevel="0" collapsed="false">
      <c r="A59" s="8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8"/>
      <c r="N59" s="9"/>
      <c r="O59" s="9"/>
      <c r="P59" s="8"/>
    </row>
    <row r="60" customFormat="false" ht="15" hidden="false" customHeight="false" outlineLevel="0" collapsed="false">
      <c r="A60" s="8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8"/>
      <c r="N60" s="9"/>
      <c r="O60" s="9"/>
      <c r="P60" s="8"/>
    </row>
    <row r="61" customFormat="false" ht="15" hidden="false" customHeight="false" outlineLevel="0" collapsed="false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8"/>
      <c r="N61" s="9"/>
      <c r="O61" s="9"/>
      <c r="P61" s="8"/>
    </row>
    <row r="62" customFormat="false" ht="15" hidden="false" customHeight="false" outlineLevel="0" collapsed="false">
      <c r="A62" s="8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8"/>
      <c r="N62" s="9"/>
      <c r="O62" s="9"/>
      <c r="P62" s="8"/>
    </row>
    <row r="63" customFormat="false" ht="15" hidden="false" customHeight="false" outlineLevel="0" collapsed="false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8"/>
      <c r="N63" s="9"/>
      <c r="O63" s="9"/>
      <c r="P63" s="8"/>
    </row>
    <row r="64" customFormat="false" ht="15" hidden="false" customHeight="false" outlineLevel="0" collapsed="false">
      <c r="A64" s="8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8"/>
      <c r="N64" s="9"/>
      <c r="O64" s="9"/>
      <c r="P64" s="8"/>
    </row>
    <row r="65" customFormat="false" ht="15" hidden="false" customHeight="false" outlineLevel="0" collapsed="false">
      <c r="A65" s="8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8"/>
      <c r="N65" s="9"/>
      <c r="O65" s="9"/>
      <c r="P65" s="8"/>
    </row>
    <row r="66" customFormat="false" ht="15" hidden="false" customHeight="false" outlineLevel="0" collapsed="false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8"/>
      <c r="N66" s="9"/>
      <c r="O66" s="9"/>
      <c r="P66" s="8"/>
    </row>
    <row r="67" customFormat="false" ht="15" hidden="false" customHeight="false" outlineLevel="0" collapsed="false">
      <c r="A67" s="8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8"/>
      <c r="N67" s="9"/>
      <c r="O67" s="9"/>
      <c r="P67" s="8"/>
    </row>
    <row r="68" customFormat="false" ht="15" hidden="false" customHeight="false" outlineLevel="0" collapsed="false">
      <c r="A68" s="8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8"/>
      <c r="N68" s="9"/>
      <c r="O68" s="9"/>
      <c r="P68" s="8"/>
    </row>
    <row r="69" customFormat="false" ht="15" hidden="false" customHeight="false" outlineLevel="0" collapsed="false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8"/>
      <c r="N69" s="9"/>
      <c r="O69" s="9"/>
      <c r="P69" s="8"/>
    </row>
    <row r="70" customFormat="false" ht="15" hidden="false" customHeight="false" outlineLevel="0" collapsed="false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8"/>
      <c r="N70" s="9"/>
      <c r="O70" s="9"/>
      <c r="P70" s="8"/>
    </row>
    <row r="71" customFormat="false" ht="15" hidden="false" customHeight="false" outlineLevel="0" collapsed="false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8"/>
      <c r="N71" s="9"/>
      <c r="O71" s="9"/>
      <c r="P71" s="8"/>
    </row>
    <row r="72" customFormat="false" ht="15" hidden="false" customHeight="false" outlineLevel="0" collapsed="false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8"/>
      <c r="N72" s="9"/>
      <c r="O72" s="9"/>
      <c r="P72" s="8"/>
    </row>
    <row r="73" customFormat="false" ht="15" hidden="false" customHeight="false" outlineLevel="0" collapsed="false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8"/>
      <c r="N73" s="9"/>
      <c r="O73" s="9"/>
      <c r="P73" s="8"/>
    </row>
    <row r="74" customFormat="false" ht="15" hidden="false" customHeight="false" outlineLevel="0" collapsed="false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8"/>
      <c r="N74" s="9"/>
      <c r="O74" s="9"/>
      <c r="P74" s="8"/>
    </row>
    <row r="75" customFormat="false" ht="15" hidden="false" customHeight="false" outlineLevel="0" collapsed="false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8"/>
      <c r="N75" s="9"/>
      <c r="O75" s="9"/>
      <c r="P75" s="8"/>
    </row>
    <row r="76" customFormat="false" ht="15" hidden="false" customHeight="false" outlineLevel="0" collapsed="false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8"/>
      <c r="N76" s="9"/>
      <c r="O76" s="9"/>
      <c r="P76" s="8"/>
    </row>
    <row r="77" customFormat="false" ht="15" hidden="false" customHeight="false" outlineLevel="0" collapsed="false">
      <c r="A77" s="8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8"/>
      <c r="N77" s="9"/>
      <c r="O77" s="9"/>
      <c r="P77" s="8"/>
    </row>
    <row r="78" customFormat="false" ht="15" hidden="false" customHeight="false" outlineLevel="0" collapsed="false">
      <c r="A78" s="8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8"/>
      <c r="N78" s="9"/>
      <c r="O78" s="9"/>
      <c r="P78" s="8"/>
    </row>
    <row r="79" customFormat="false" ht="15" hidden="false" customHeight="false" outlineLevel="0" collapsed="false">
      <c r="A79" s="8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8"/>
      <c r="N79" s="9"/>
      <c r="O79" s="9"/>
      <c r="P79" s="8"/>
    </row>
    <row r="80" customFormat="false" ht="15" hidden="false" customHeight="false" outlineLevel="0" collapsed="false">
      <c r="A80" s="8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8"/>
      <c r="N80" s="9"/>
      <c r="O80" s="9"/>
      <c r="P80" s="8"/>
    </row>
    <row r="81" customFormat="false" ht="15" hidden="false" customHeight="false" outlineLevel="0" collapsed="false">
      <c r="A81" s="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8"/>
      <c r="N81" s="9"/>
      <c r="O81" s="9"/>
      <c r="P81" s="8"/>
    </row>
    <row r="82" customFormat="false" ht="15" hidden="false" customHeight="false" outlineLevel="0" collapsed="false">
      <c r="A82" s="8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8"/>
      <c r="N82" s="9"/>
      <c r="O82" s="9"/>
      <c r="P82" s="8"/>
    </row>
    <row r="83" customFormat="false" ht="15" hidden="false" customHeight="false" outlineLevel="0" collapsed="false">
      <c r="A83" s="8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8"/>
      <c r="N83" s="9"/>
      <c r="O83" s="9"/>
      <c r="P83" s="8"/>
    </row>
    <row r="84" customFormat="false" ht="15" hidden="false" customHeight="false" outlineLevel="0" collapsed="false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8"/>
      <c r="N84" s="9"/>
      <c r="O84" s="9"/>
      <c r="P84" s="8"/>
    </row>
    <row r="85" customFormat="false" ht="15" hidden="false" customHeight="false" outlineLevel="0" collapsed="false">
      <c r="A85" s="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8"/>
      <c r="N85" s="9"/>
      <c r="O85" s="9"/>
      <c r="P85" s="8"/>
    </row>
    <row r="86" customFormat="false" ht="15" hidden="false" customHeight="false" outlineLevel="0" collapsed="false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8"/>
      <c r="N86" s="9"/>
      <c r="O86" s="9"/>
      <c r="P86" s="8"/>
    </row>
    <row r="87" customFormat="false" ht="15" hidden="false" customHeight="false" outlineLevel="0" collapsed="false">
      <c r="A87" s="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8"/>
      <c r="N87" s="9"/>
      <c r="O87" s="9"/>
      <c r="P87" s="8"/>
    </row>
    <row r="88" customFormat="false" ht="15" hidden="false" customHeight="false" outlineLevel="0" collapsed="false">
      <c r="A88" s="8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8"/>
      <c r="N88" s="9"/>
      <c r="O88" s="9"/>
      <c r="P88" s="8"/>
    </row>
    <row r="89" customFormat="false" ht="15" hidden="false" customHeight="false" outlineLevel="0" collapsed="false">
      <c r="A89" s="8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8"/>
      <c r="N89" s="9"/>
      <c r="O89" s="9"/>
      <c r="P89" s="8"/>
    </row>
    <row r="90" customFormat="false" ht="15" hidden="false" customHeight="false" outlineLevel="0" collapsed="false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8"/>
      <c r="N90" s="9"/>
      <c r="O90" s="9"/>
      <c r="P90" s="8"/>
    </row>
    <row r="91" customFormat="false" ht="15" hidden="false" customHeight="false" outlineLevel="0" collapsed="false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8"/>
      <c r="N91" s="9"/>
      <c r="O91" s="9"/>
      <c r="P91" s="8"/>
    </row>
    <row r="92" customFormat="false" ht="15" hidden="false" customHeight="false" outlineLevel="0" collapsed="false">
      <c r="A92" s="8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8"/>
      <c r="N92" s="9"/>
      <c r="O92" s="9"/>
      <c r="P92" s="8"/>
    </row>
    <row r="93" customFormat="false" ht="15" hidden="false" customHeight="false" outlineLevel="0" collapsed="false">
      <c r="A93" s="8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8"/>
      <c r="N93" s="9"/>
      <c r="O93" s="9"/>
      <c r="P93" s="8"/>
    </row>
    <row r="94" customFormat="false" ht="15" hidden="false" customHeight="false" outlineLevel="0" collapsed="false">
      <c r="A94" s="8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8"/>
      <c r="N94" s="9"/>
      <c r="O94" s="9"/>
      <c r="P94" s="8"/>
    </row>
    <row r="95" customFormat="false" ht="15" hidden="false" customHeight="false" outlineLevel="0" collapsed="false">
      <c r="A95" s="8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8"/>
      <c r="N95" s="9"/>
      <c r="O95" s="9"/>
      <c r="P95" s="8"/>
    </row>
    <row r="96" customFormat="false" ht="15" hidden="false" customHeight="false" outlineLevel="0" collapsed="false">
      <c r="A96" s="8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8"/>
      <c r="N96" s="9"/>
      <c r="O96" s="9"/>
      <c r="P96" s="8"/>
    </row>
    <row r="97" customFormat="false" ht="15" hidden="false" customHeight="false" outlineLevel="0" collapsed="false">
      <c r="A97" s="8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8"/>
      <c r="N97" s="9"/>
      <c r="O97" s="9"/>
      <c r="P97" s="8"/>
    </row>
    <row r="98" customFormat="false" ht="15" hidden="false" customHeight="false" outlineLevel="0" collapsed="false">
      <c r="A98" s="8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8"/>
      <c r="N98" s="9"/>
      <c r="O98" s="9"/>
      <c r="P98" s="8"/>
    </row>
    <row r="99" customFormat="false" ht="15" hidden="false" customHeight="false" outlineLevel="0" collapsed="false">
      <c r="A99" s="8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8"/>
      <c r="N99" s="9"/>
      <c r="O99" s="9"/>
      <c r="P99" s="8"/>
    </row>
    <row r="100" customFormat="false" ht="15" hidden="false" customHeight="false" outlineLevel="0" collapsed="false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8"/>
      <c r="N100" s="9"/>
      <c r="O100" s="9"/>
      <c r="P100" s="8"/>
    </row>
    <row r="101" customFormat="false" ht="15" hidden="false" customHeight="false" outlineLevel="0" collapsed="false">
      <c r="A101" s="8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8"/>
      <c r="N101" s="9"/>
      <c r="O101" s="9"/>
      <c r="P101" s="8"/>
    </row>
    <row r="102" customFormat="false" ht="15" hidden="false" customHeight="false" outlineLevel="0" collapsed="false">
      <c r="A102" s="8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8"/>
      <c r="N102" s="9"/>
      <c r="O102" s="9"/>
      <c r="P102" s="8"/>
    </row>
    <row r="103" customFormat="false" ht="15" hidden="false" customHeight="false" outlineLevel="0" collapsed="false">
      <c r="A103" s="8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8"/>
      <c r="N103" s="9"/>
      <c r="O103" s="9"/>
      <c r="P103" s="8"/>
    </row>
    <row r="104" customFormat="false" ht="15" hidden="false" customHeight="false" outlineLevel="0" collapsed="false">
      <c r="A104" s="8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8"/>
      <c r="N104" s="9"/>
      <c r="O104" s="9"/>
      <c r="P104" s="8"/>
    </row>
    <row r="105" customFormat="false" ht="15" hidden="false" customHeight="false" outlineLevel="0" collapsed="false">
      <c r="A105" s="8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8"/>
      <c r="N105" s="9"/>
      <c r="O105" s="9"/>
      <c r="P105" s="8"/>
    </row>
    <row r="106" customFormat="false" ht="15" hidden="false" customHeight="false" outlineLevel="0" collapsed="false">
      <c r="A106" s="8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8"/>
      <c r="N106" s="9"/>
      <c r="O106" s="9"/>
      <c r="P106" s="8"/>
    </row>
    <row r="107" customFormat="false" ht="15" hidden="false" customHeight="false" outlineLevel="0" collapsed="false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8"/>
      <c r="N107" s="9"/>
      <c r="O107" s="9"/>
      <c r="P107" s="8"/>
    </row>
    <row r="108" customFormat="false" ht="15" hidden="false" customHeight="false" outlineLevel="0" collapsed="false">
      <c r="A108" s="8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8"/>
      <c r="N108" s="9"/>
      <c r="O108" s="9"/>
      <c r="P108" s="8"/>
    </row>
    <row r="109" customFormat="false" ht="15" hidden="false" customHeight="false" outlineLevel="0" collapsed="false">
      <c r="A109" s="8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8"/>
      <c r="N109" s="9"/>
      <c r="O109" s="9"/>
      <c r="P109" s="8"/>
    </row>
    <row r="110" customFormat="false" ht="15" hidden="false" customHeight="false" outlineLevel="0" collapsed="false">
      <c r="A110" s="8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8"/>
      <c r="N110" s="9"/>
      <c r="O110" s="9"/>
      <c r="P110" s="8"/>
    </row>
    <row r="111" customFormat="false" ht="15" hidden="false" customHeight="false" outlineLevel="0" collapsed="false">
      <c r="A111" s="8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8"/>
      <c r="N111" s="9"/>
      <c r="O111" s="9"/>
      <c r="P111" s="8"/>
    </row>
    <row r="112" customFormat="false" ht="15" hidden="false" customHeight="false" outlineLevel="0" collapsed="false">
      <c r="A112" s="8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8"/>
      <c r="N112" s="9"/>
      <c r="O112" s="9"/>
      <c r="P112" s="8"/>
    </row>
    <row r="113" customFormat="false" ht="15" hidden="false" customHeight="false" outlineLevel="0" collapsed="false">
      <c r="A113" s="8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8"/>
      <c r="N113" s="9"/>
      <c r="O113" s="9"/>
      <c r="P113" s="8"/>
    </row>
    <row r="114" customFormat="false" ht="15" hidden="false" customHeight="false" outlineLevel="0" collapsed="false">
      <c r="A114" s="8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8"/>
      <c r="N114" s="9"/>
      <c r="O114" s="9"/>
      <c r="P114" s="8"/>
    </row>
    <row r="115" customFormat="false" ht="15" hidden="false" customHeight="false" outlineLevel="0" collapsed="false">
      <c r="A115" s="8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8"/>
      <c r="N115" s="9"/>
      <c r="O115" s="9"/>
      <c r="P115" s="8"/>
    </row>
    <row r="116" customFormat="false" ht="15" hidden="false" customHeight="false" outlineLevel="0" collapsed="false">
      <c r="A116" s="8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8"/>
      <c r="N116" s="9"/>
      <c r="O116" s="9"/>
      <c r="P116" s="8"/>
    </row>
    <row r="117" customFormat="false" ht="15" hidden="false" customHeight="false" outlineLevel="0" collapsed="false">
      <c r="A117" s="8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8"/>
      <c r="N117" s="9"/>
      <c r="O117" s="9"/>
      <c r="P117" s="8"/>
    </row>
    <row r="118" customFormat="false" ht="15" hidden="false" customHeight="false" outlineLevel="0" collapsed="false">
      <c r="A118" s="8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8"/>
      <c r="N118" s="9"/>
      <c r="O118" s="9"/>
      <c r="P118" s="8"/>
    </row>
    <row r="119" customFormat="false" ht="15" hidden="false" customHeight="false" outlineLevel="0" collapsed="false">
      <c r="A119" s="8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8"/>
      <c r="N119" s="9"/>
      <c r="O119" s="9"/>
      <c r="P119" s="8"/>
    </row>
    <row r="120" customFormat="false" ht="15" hidden="false" customHeight="false" outlineLevel="0" collapsed="false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8"/>
      <c r="N120" s="9"/>
      <c r="O120" s="9"/>
      <c r="P120" s="8"/>
    </row>
    <row r="121" customFormat="false" ht="15" hidden="false" customHeight="false" outlineLevel="0" collapsed="false">
      <c r="A121" s="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8"/>
      <c r="N121" s="9"/>
      <c r="O121" s="9"/>
      <c r="P121" s="8"/>
    </row>
    <row r="122" customFormat="false" ht="15" hidden="false" customHeight="false" outlineLevel="0" collapsed="false">
      <c r="A122" s="8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8"/>
      <c r="N122" s="9"/>
      <c r="O122" s="9"/>
      <c r="P122" s="8"/>
    </row>
    <row r="123" customFormat="false" ht="15" hidden="false" customHeight="false" outlineLevel="0" collapsed="false">
      <c r="A123" s="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8"/>
      <c r="N123" s="9"/>
      <c r="O123" s="9"/>
      <c r="P123" s="8"/>
    </row>
    <row r="124" customFormat="false" ht="15" hidden="false" customHeight="false" outlineLevel="0" collapsed="false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8"/>
      <c r="N124" s="9"/>
      <c r="O124" s="9"/>
      <c r="P124" s="8"/>
    </row>
    <row r="125" customFormat="false" ht="15" hidden="false" customHeight="false" outlineLevel="0" collapsed="false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8"/>
      <c r="N125" s="9"/>
      <c r="O125" s="9"/>
      <c r="P125" s="8"/>
    </row>
    <row r="126" customFormat="false" ht="15" hidden="false" customHeight="false" outlineLevel="0" collapsed="false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8"/>
      <c r="N126" s="9"/>
      <c r="O126" s="9"/>
      <c r="P126" s="8"/>
    </row>
    <row r="127" customFormat="false" ht="15" hidden="false" customHeight="false" outlineLevel="0" collapsed="false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8"/>
      <c r="N127" s="9"/>
      <c r="O127" s="9"/>
      <c r="P127" s="8"/>
    </row>
    <row r="128" customFormat="false" ht="15" hidden="false" customHeight="false" outlineLevel="0" collapsed="false">
      <c r="A128" s="8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8"/>
      <c r="N128" s="9"/>
      <c r="O128" s="9"/>
      <c r="P128" s="8"/>
    </row>
    <row r="129" customFormat="false" ht="15" hidden="false" customHeight="false" outlineLevel="0" collapsed="false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8"/>
      <c r="N129" s="9"/>
      <c r="O129" s="9"/>
      <c r="P129" s="8"/>
    </row>
    <row r="130" customFormat="false" ht="15" hidden="false" customHeight="false" outlineLevel="0" collapsed="false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8"/>
      <c r="N130" s="9"/>
      <c r="O130" s="9"/>
      <c r="P130" s="8"/>
    </row>
    <row r="131" customFormat="false" ht="15" hidden="false" customHeight="false" outlineLevel="0" collapsed="false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8"/>
      <c r="N131" s="9"/>
      <c r="O131" s="9"/>
      <c r="P131" s="8"/>
    </row>
    <row r="132" customFormat="false" ht="15" hidden="false" customHeight="false" outlineLevel="0" collapsed="false">
      <c r="A132" s="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8"/>
      <c r="N132" s="9"/>
      <c r="O132" s="9"/>
      <c r="P132" s="8"/>
    </row>
    <row r="133" customFormat="false" ht="15" hidden="false" customHeight="false" outlineLevel="0" collapsed="false">
      <c r="A133" s="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8"/>
      <c r="N133" s="9"/>
      <c r="O133" s="9"/>
      <c r="P133" s="8"/>
    </row>
    <row r="134" customFormat="false" ht="15" hidden="false" customHeight="false" outlineLevel="0" collapsed="false">
      <c r="A134" s="8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8"/>
      <c r="N134" s="9"/>
      <c r="O134" s="9"/>
      <c r="P134" s="8"/>
    </row>
    <row r="135" customFormat="false" ht="15" hidden="false" customHeight="false" outlineLevel="0" collapsed="false">
      <c r="A135" s="8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8"/>
      <c r="N135" s="9"/>
      <c r="O135" s="9"/>
      <c r="P135" s="8"/>
    </row>
    <row r="136" customFormat="false" ht="15" hidden="false" customHeight="false" outlineLevel="0" collapsed="false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8"/>
      <c r="N136" s="9"/>
      <c r="O136" s="9"/>
      <c r="P136" s="8"/>
    </row>
    <row r="137" customFormat="false" ht="15" hidden="false" customHeight="false" outlineLevel="0" collapsed="false">
      <c r="A137" s="8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8"/>
      <c r="N137" s="9"/>
      <c r="O137" s="9"/>
      <c r="P137" s="8"/>
    </row>
    <row r="138" customFormat="false" ht="15" hidden="false" customHeight="false" outlineLevel="0" collapsed="false">
      <c r="A138" s="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8"/>
      <c r="N138" s="9"/>
      <c r="O138" s="9"/>
      <c r="P138" s="8"/>
    </row>
    <row r="139" customFormat="false" ht="15" hidden="false" customHeight="false" outlineLevel="0" collapsed="false">
      <c r="A139" s="8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8"/>
      <c r="N139" s="9"/>
      <c r="O139" s="9"/>
      <c r="P139" s="8"/>
    </row>
    <row r="140" customFormat="false" ht="15" hidden="false" customHeight="false" outlineLevel="0" collapsed="false">
      <c r="A140" s="8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8"/>
      <c r="N140" s="9"/>
      <c r="O140" s="9"/>
      <c r="P140" s="8"/>
    </row>
    <row r="141" customFormat="false" ht="15" hidden="false" customHeight="false" outlineLevel="0" collapsed="false">
      <c r="A141" s="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8"/>
      <c r="N141" s="9"/>
      <c r="O141" s="9"/>
      <c r="P141" s="8"/>
    </row>
    <row r="142" customFormat="false" ht="15" hidden="false" customHeight="false" outlineLevel="0" collapsed="false">
      <c r="A142" s="8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8"/>
      <c r="N142" s="9"/>
      <c r="O142" s="9"/>
      <c r="P142" s="8"/>
    </row>
    <row r="143" customFormat="false" ht="15" hidden="false" customHeight="false" outlineLevel="0" collapsed="false">
      <c r="A143" s="8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8"/>
      <c r="N143" s="9"/>
      <c r="O143" s="9"/>
      <c r="P143" s="8"/>
    </row>
    <row r="144" customFormat="false" ht="15" hidden="false" customHeight="false" outlineLevel="0" collapsed="false">
      <c r="A144" s="8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8"/>
      <c r="N144" s="9"/>
      <c r="O144" s="9"/>
      <c r="P144" s="8"/>
    </row>
    <row r="145" customFormat="false" ht="15" hidden="false" customHeight="false" outlineLevel="0" collapsed="false">
      <c r="A145" s="8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8"/>
      <c r="N145" s="9"/>
      <c r="O145" s="9"/>
      <c r="P145" s="8"/>
    </row>
    <row r="146" customFormat="false" ht="15" hidden="false" customHeight="false" outlineLevel="0" collapsed="false">
      <c r="A146" s="8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8"/>
      <c r="N146" s="9"/>
      <c r="O146" s="9"/>
      <c r="P146" s="8"/>
    </row>
    <row r="147" customFormat="false" ht="15" hidden="false" customHeight="false" outlineLevel="0" collapsed="false">
      <c r="A147" s="8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8"/>
      <c r="N147" s="9"/>
      <c r="O147" s="9"/>
      <c r="P147" s="8"/>
    </row>
    <row r="148" customFormat="false" ht="15" hidden="false" customHeight="false" outlineLevel="0" collapsed="false">
      <c r="A148" s="8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8"/>
      <c r="N148" s="9"/>
      <c r="O148" s="9"/>
      <c r="P148" s="8"/>
    </row>
    <row r="149" customFormat="false" ht="15" hidden="false" customHeight="false" outlineLevel="0" collapsed="false">
      <c r="A149" s="8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8"/>
      <c r="N149" s="9"/>
      <c r="O149" s="9"/>
      <c r="P149" s="8"/>
    </row>
    <row r="150" customFormat="false" ht="15" hidden="false" customHeight="false" outlineLevel="0" collapsed="false">
      <c r="A150" s="8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8"/>
      <c r="N150" s="9"/>
      <c r="O150" s="9"/>
      <c r="P150" s="8"/>
    </row>
    <row r="151" customFormat="false" ht="15" hidden="false" customHeight="false" outlineLevel="0" collapsed="false">
      <c r="A151" s="8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8"/>
      <c r="N151" s="9"/>
      <c r="O151" s="9"/>
      <c r="P151" s="8"/>
    </row>
    <row r="152" customFormat="false" ht="15" hidden="false" customHeight="false" outlineLevel="0" collapsed="false">
      <c r="A152" s="8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8"/>
      <c r="N152" s="9"/>
      <c r="O152" s="9"/>
      <c r="P152" s="8"/>
    </row>
    <row r="153" customFormat="false" ht="15" hidden="false" customHeight="false" outlineLevel="0" collapsed="false">
      <c r="A153" s="8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8"/>
      <c r="N153" s="9"/>
      <c r="O153" s="9"/>
      <c r="P153" s="8"/>
    </row>
    <row r="154" customFormat="false" ht="15" hidden="false" customHeight="false" outlineLevel="0" collapsed="false">
      <c r="A154" s="8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8"/>
      <c r="N154" s="9"/>
      <c r="O154" s="9"/>
      <c r="P154" s="8"/>
    </row>
    <row r="155" customFormat="false" ht="15" hidden="false" customHeight="false" outlineLevel="0" collapsed="false">
      <c r="A155" s="8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8"/>
      <c r="N155" s="9"/>
      <c r="O155" s="9"/>
      <c r="P155" s="8"/>
    </row>
    <row r="156" customFormat="false" ht="15" hidden="false" customHeight="false" outlineLevel="0" collapsed="false">
      <c r="A156" s="8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8"/>
      <c r="N156" s="9"/>
      <c r="O156" s="9"/>
      <c r="P156" s="8"/>
    </row>
    <row r="157" customFormat="false" ht="15" hidden="false" customHeight="false" outlineLevel="0" collapsed="false">
      <c r="A157" s="8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8"/>
      <c r="N157" s="9"/>
      <c r="O157" s="9"/>
      <c r="P157" s="8"/>
    </row>
    <row r="158" customFormat="false" ht="15" hidden="false" customHeight="false" outlineLevel="0" collapsed="false">
      <c r="A158" s="8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8"/>
      <c r="N158" s="9"/>
      <c r="O158" s="9"/>
      <c r="P158" s="8"/>
    </row>
    <row r="159" customFormat="false" ht="15" hidden="false" customHeight="false" outlineLevel="0" collapsed="false">
      <c r="A159" s="8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8"/>
      <c r="N159" s="9"/>
      <c r="O159" s="9"/>
      <c r="P159" s="8"/>
    </row>
    <row r="160" customFormat="false" ht="15" hidden="false" customHeight="false" outlineLevel="0" collapsed="false">
      <c r="A160" s="8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8"/>
      <c r="N160" s="9"/>
      <c r="O160" s="9"/>
      <c r="P160" s="8"/>
    </row>
    <row r="161" customFormat="false" ht="15" hidden="false" customHeight="false" outlineLevel="0" collapsed="false">
      <c r="A161" s="8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8"/>
      <c r="N161" s="9"/>
      <c r="O161" s="9"/>
      <c r="P161" s="8"/>
    </row>
    <row r="162" customFormat="false" ht="15" hidden="false" customHeight="false" outlineLevel="0" collapsed="false">
      <c r="A162" s="8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8"/>
      <c r="N162" s="9"/>
      <c r="O162" s="9"/>
      <c r="P162" s="8"/>
    </row>
    <row r="163" customFormat="false" ht="15" hidden="false" customHeight="false" outlineLevel="0" collapsed="false">
      <c r="A163" s="8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8"/>
      <c r="N163" s="9"/>
      <c r="O163" s="9"/>
      <c r="P163" s="8"/>
    </row>
    <row r="164" customFormat="false" ht="15" hidden="false" customHeight="false" outlineLevel="0" collapsed="false">
      <c r="A164" s="8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8"/>
      <c r="N164" s="9"/>
      <c r="O164" s="9"/>
      <c r="P164" s="8"/>
    </row>
    <row r="165" customFormat="false" ht="15" hidden="false" customHeight="false" outlineLevel="0" collapsed="false">
      <c r="A165" s="8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8"/>
      <c r="N165" s="9"/>
      <c r="O165" s="9"/>
      <c r="P165" s="8"/>
    </row>
    <row r="166" customFormat="false" ht="15" hidden="false" customHeight="false" outlineLevel="0" collapsed="false">
      <c r="A166" s="8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8"/>
      <c r="N166" s="9"/>
      <c r="O166" s="9"/>
      <c r="P166" s="8"/>
    </row>
    <row r="167" customFormat="false" ht="15" hidden="false" customHeight="false" outlineLevel="0" collapsed="false">
      <c r="A167" s="8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8"/>
      <c r="N167" s="9"/>
      <c r="O167" s="9"/>
      <c r="P167" s="8"/>
    </row>
    <row r="168" customFormat="false" ht="15" hidden="false" customHeight="false" outlineLevel="0" collapsed="false">
      <c r="A168" s="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8"/>
      <c r="N168" s="9"/>
      <c r="O168" s="9"/>
      <c r="P168" s="8"/>
    </row>
    <row r="169" customFormat="false" ht="15" hidden="false" customHeight="false" outlineLevel="0" collapsed="false">
      <c r="A169" s="8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8"/>
      <c r="N169" s="9"/>
      <c r="O169" s="9"/>
      <c r="P169" s="8"/>
    </row>
    <row r="170" customFormat="false" ht="15" hidden="false" customHeight="false" outlineLevel="0" collapsed="false">
      <c r="A170" s="8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8"/>
      <c r="N170" s="9"/>
      <c r="O170" s="9"/>
      <c r="P170" s="8"/>
    </row>
    <row r="171" customFormat="false" ht="15" hidden="false" customHeight="false" outlineLevel="0" collapsed="false">
      <c r="A171" s="8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8"/>
      <c r="N171" s="9"/>
      <c r="O171" s="9"/>
      <c r="P171" s="8"/>
    </row>
    <row r="172" customFormat="false" ht="15" hidden="false" customHeight="false" outlineLevel="0" collapsed="false">
      <c r="A172" s="8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8"/>
      <c r="N172" s="9"/>
      <c r="O172" s="9"/>
      <c r="P172" s="8"/>
    </row>
    <row r="173" customFormat="false" ht="15" hidden="false" customHeight="false" outlineLevel="0" collapsed="false">
      <c r="A173" s="8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8"/>
      <c r="N173" s="9"/>
      <c r="O173" s="9"/>
      <c r="P173" s="8"/>
    </row>
    <row r="174" customFormat="false" ht="15" hidden="false" customHeight="false" outlineLevel="0" collapsed="false">
      <c r="A174" s="8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8"/>
      <c r="N174" s="9"/>
      <c r="O174" s="9"/>
      <c r="P174" s="8"/>
    </row>
    <row r="175" customFormat="false" ht="15" hidden="false" customHeight="false" outlineLevel="0" collapsed="false">
      <c r="A175" s="8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8"/>
      <c r="N175" s="9"/>
      <c r="O175" s="9"/>
      <c r="P175" s="8"/>
    </row>
    <row r="176" customFormat="false" ht="15" hidden="false" customHeight="false" outlineLevel="0" collapsed="false">
      <c r="A176" s="8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8"/>
      <c r="N176" s="9"/>
      <c r="O176" s="9"/>
      <c r="P176" s="8"/>
    </row>
    <row r="177" customFormat="false" ht="15" hidden="false" customHeight="false" outlineLevel="0" collapsed="false">
      <c r="A177" s="8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8"/>
      <c r="N177" s="9"/>
      <c r="O177" s="9"/>
      <c r="P177" s="8"/>
    </row>
    <row r="178" customFormat="false" ht="15" hidden="false" customHeight="false" outlineLevel="0" collapsed="false">
      <c r="A178" s="8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8"/>
      <c r="N178" s="9"/>
      <c r="O178" s="9"/>
      <c r="P178" s="8"/>
    </row>
    <row r="179" customFormat="false" ht="15" hidden="false" customHeight="false" outlineLevel="0" collapsed="false">
      <c r="A179" s="8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8"/>
      <c r="N179" s="9"/>
      <c r="O179" s="9"/>
      <c r="P179" s="8"/>
    </row>
    <row r="180" customFormat="false" ht="15" hidden="false" customHeight="false" outlineLevel="0" collapsed="false">
      <c r="A180" s="8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8"/>
      <c r="N180" s="9"/>
      <c r="O180" s="9"/>
      <c r="P180" s="8"/>
    </row>
    <row r="181" customFormat="false" ht="15" hidden="false" customHeight="false" outlineLevel="0" collapsed="false">
      <c r="A181" s="8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8"/>
      <c r="N181" s="9"/>
      <c r="O181" s="9"/>
      <c r="P181" s="8"/>
    </row>
    <row r="182" customFormat="false" ht="15" hidden="false" customHeight="false" outlineLevel="0" collapsed="false">
      <c r="A182" s="8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8"/>
      <c r="N182" s="9"/>
      <c r="O182" s="9"/>
      <c r="P182" s="8"/>
    </row>
    <row r="183" customFormat="false" ht="15" hidden="false" customHeight="false" outlineLevel="0" collapsed="false">
      <c r="A183" s="8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8"/>
      <c r="N183" s="9"/>
      <c r="O183" s="9"/>
      <c r="P183" s="8"/>
    </row>
    <row r="184" customFormat="false" ht="15" hidden="false" customHeight="false" outlineLevel="0" collapsed="false">
      <c r="A184" s="8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8"/>
      <c r="N184" s="9"/>
      <c r="O184" s="9"/>
      <c r="P184" s="8"/>
    </row>
    <row r="185" customFormat="false" ht="15" hidden="false" customHeight="false" outlineLevel="0" collapsed="false">
      <c r="A185" s="8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8"/>
      <c r="N185" s="9"/>
      <c r="O185" s="9"/>
      <c r="P185" s="8"/>
    </row>
    <row r="186" customFormat="false" ht="15" hidden="false" customHeight="false" outlineLevel="0" collapsed="false">
      <c r="A186" s="8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8"/>
      <c r="N186" s="9"/>
      <c r="O186" s="9"/>
      <c r="P186" s="8"/>
    </row>
    <row r="187" customFormat="false" ht="15" hidden="false" customHeight="false" outlineLevel="0" collapsed="false">
      <c r="A187" s="8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8"/>
      <c r="N187" s="9"/>
      <c r="O187" s="9"/>
      <c r="P187" s="8"/>
    </row>
    <row r="188" customFormat="false" ht="15" hidden="false" customHeight="false" outlineLevel="0" collapsed="false">
      <c r="A188" s="8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8"/>
      <c r="N188" s="9"/>
      <c r="O188" s="9"/>
      <c r="P188" s="8"/>
    </row>
    <row r="189" customFormat="false" ht="15" hidden="false" customHeight="false" outlineLevel="0" collapsed="false">
      <c r="A189" s="8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8"/>
      <c r="N189" s="9"/>
      <c r="O189" s="9"/>
      <c r="P189" s="8"/>
    </row>
    <row r="190" customFormat="false" ht="15" hidden="false" customHeight="false" outlineLevel="0" collapsed="false">
      <c r="A190" s="8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8"/>
      <c r="N190" s="9"/>
      <c r="O190" s="9"/>
      <c r="P190" s="8"/>
    </row>
    <row r="191" customFormat="false" ht="15" hidden="false" customHeight="false" outlineLevel="0" collapsed="false">
      <c r="A191" s="8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8"/>
      <c r="N191" s="9"/>
      <c r="O191" s="9"/>
      <c r="P191" s="8"/>
    </row>
    <row r="192" customFormat="false" ht="15" hidden="false" customHeight="false" outlineLevel="0" collapsed="false">
      <c r="A192" s="8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8"/>
      <c r="N192" s="9"/>
      <c r="O192" s="9"/>
      <c r="P192" s="8"/>
    </row>
    <row r="193" customFormat="false" ht="15" hidden="false" customHeight="false" outlineLevel="0" collapsed="false">
      <c r="A193" s="8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8"/>
      <c r="N193" s="9"/>
      <c r="O193" s="9"/>
      <c r="P193" s="8"/>
    </row>
    <row r="194" customFormat="false" ht="15" hidden="false" customHeight="false" outlineLevel="0" collapsed="false">
      <c r="A194" s="8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8"/>
      <c r="N194" s="9"/>
      <c r="O194" s="9"/>
      <c r="P194" s="8"/>
    </row>
    <row r="195" customFormat="false" ht="15" hidden="false" customHeight="false" outlineLevel="0" collapsed="false">
      <c r="A195" s="8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8"/>
      <c r="N195" s="9"/>
      <c r="O195" s="9"/>
      <c r="P195" s="8"/>
    </row>
    <row r="196" customFormat="false" ht="15" hidden="false" customHeight="false" outlineLevel="0" collapsed="false">
      <c r="A196" s="8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8"/>
      <c r="N196" s="9"/>
      <c r="O196" s="9"/>
      <c r="P196" s="8"/>
    </row>
    <row r="197" customFormat="false" ht="15" hidden="false" customHeight="false" outlineLevel="0" collapsed="false">
      <c r="A197" s="8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8"/>
      <c r="N197" s="9"/>
      <c r="O197" s="9"/>
      <c r="P197" s="8"/>
    </row>
    <row r="198" customFormat="false" ht="15" hidden="false" customHeight="false" outlineLevel="0" collapsed="false">
      <c r="A198" s="8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8"/>
      <c r="N198" s="9"/>
      <c r="O198" s="9"/>
      <c r="P198" s="8"/>
    </row>
    <row r="199" customFormat="false" ht="15" hidden="false" customHeight="false" outlineLevel="0" collapsed="false">
      <c r="A199" s="8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8"/>
      <c r="N199" s="9"/>
      <c r="O199" s="9"/>
      <c r="P199" s="8"/>
    </row>
    <row r="200" customFormat="false" ht="15" hidden="false" customHeight="false" outlineLevel="0" collapsed="false">
      <c r="A200" s="8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8"/>
      <c r="N200" s="9"/>
      <c r="O200" s="9"/>
      <c r="P200" s="8"/>
    </row>
    <row r="201" customFormat="false" ht="15" hidden="false" customHeight="false" outlineLevel="0" collapsed="false">
      <c r="A201" s="10"/>
      <c r="M201" s="10"/>
      <c r="P201" s="10"/>
    </row>
    <row r="202" customFormat="false" ht="15" hidden="false" customHeight="false" outlineLevel="0" collapsed="false">
      <c r="A202" s="10"/>
      <c r="M202" s="10"/>
      <c r="P202" s="10"/>
    </row>
    <row r="203" customFormat="false" ht="15" hidden="false" customHeight="false" outlineLevel="0" collapsed="false">
      <c r="A203" s="10"/>
      <c r="M203" s="10"/>
      <c r="P203" s="10"/>
    </row>
    <row r="204" customFormat="false" ht="15" hidden="false" customHeight="false" outlineLevel="0" collapsed="false">
      <c r="A204" s="10"/>
      <c r="M204" s="10"/>
      <c r="P204" s="10"/>
    </row>
    <row r="205" customFormat="false" ht="15" hidden="false" customHeight="false" outlineLevel="0" collapsed="false">
      <c r="A205" s="10"/>
      <c r="M205" s="10"/>
      <c r="P205" s="10"/>
    </row>
    <row r="206" customFormat="false" ht="15" hidden="false" customHeight="false" outlineLevel="0" collapsed="false">
      <c r="A206" s="10"/>
      <c r="M206" s="10"/>
      <c r="P206" s="10"/>
    </row>
    <row r="207" customFormat="false" ht="15" hidden="false" customHeight="false" outlineLevel="0" collapsed="false">
      <c r="A207" s="10"/>
      <c r="M207" s="10"/>
      <c r="P207" s="10"/>
    </row>
    <row r="208" customFormat="false" ht="15" hidden="false" customHeight="false" outlineLevel="0" collapsed="false">
      <c r="A208" s="10"/>
      <c r="M208" s="10"/>
      <c r="P208" s="10"/>
    </row>
    <row r="209" customFormat="false" ht="15" hidden="false" customHeight="false" outlineLevel="0" collapsed="false">
      <c r="A209" s="10"/>
      <c r="M209" s="10"/>
      <c r="P209" s="10"/>
    </row>
    <row r="210" customFormat="false" ht="15" hidden="false" customHeight="false" outlineLevel="0" collapsed="false">
      <c r="A210" s="10"/>
      <c r="M210" s="10"/>
      <c r="P210" s="10"/>
    </row>
    <row r="211" customFormat="false" ht="15" hidden="false" customHeight="false" outlineLevel="0" collapsed="false">
      <c r="A211" s="10"/>
      <c r="M211" s="10"/>
      <c r="P211" s="10"/>
    </row>
    <row r="212" customFormat="false" ht="15" hidden="false" customHeight="false" outlineLevel="0" collapsed="false">
      <c r="A212" s="10"/>
      <c r="M212" s="10"/>
      <c r="P212" s="10"/>
    </row>
    <row r="213" customFormat="false" ht="15" hidden="false" customHeight="false" outlineLevel="0" collapsed="false">
      <c r="A213" s="10"/>
      <c r="M213" s="10"/>
      <c r="P213" s="10"/>
    </row>
    <row r="214" customFormat="false" ht="15" hidden="false" customHeight="false" outlineLevel="0" collapsed="false">
      <c r="A214" s="10"/>
      <c r="M214" s="10"/>
      <c r="P214" s="10"/>
    </row>
    <row r="215" customFormat="false" ht="15" hidden="false" customHeight="false" outlineLevel="0" collapsed="false">
      <c r="A215" s="10"/>
      <c r="M215" s="10"/>
      <c r="P215" s="10"/>
    </row>
    <row r="216" customFormat="false" ht="15" hidden="false" customHeight="false" outlineLevel="0" collapsed="false">
      <c r="A216" s="10"/>
      <c r="M216" s="10"/>
      <c r="P216" s="10"/>
    </row>
    <row r="217" customFormat="false" ht="15" hidden="false" customHeight="false" outlineLevel="0" collapsed="false">
      <c r="A217" s="10"/>
      <c r="M217" s="10"/>
      <c r="P217" s="10"/>
    </row>
    <row r="218" customFormat="false" ht="15" hidden="false" customHeight="false" outlineLevel="0" collapsed="false">
      <c r="A218" s="10"/>
      <c r="M218" s="10"/>
      <c r="P218" s="10"/>
    </row>
    <row r="219" customFormat="false" ht="15" hidden="false" customHeight="false" outlineLevel="0" collapsed="false">
      <c r="A219" s="10"/>
      <c r="M219" s="10"/>
      <c r="P219" s="10"/>
    </row>
    <row r="220" customFormat="false" ht="15" hidden="false" customHeight="false" outlineLevel="0" collapsed="false">
      <c r="A220" s="10"/>
      <c r="M220" s="10"/>
      <c r="P220" s="10"/>
    </row>
    <row r="221" customFormat="false" ht="15" hidden="false" customHeight="false" outlineLevel="0" collapsed="false">
      <c r="A221" s="10"/>
      <c r="M221" s="10"/>
      <c r="P221" s="10"/>
    </row>
    <row r="222" customFormat="false" ht="15" hidden="false" customHeight="false" outlineLevel="0" collapsed="false">
      <c r="A222" s="10"/>
      <c r="M222" s="10"/>
      <c r="P222" s="10"/>
    </row>
    <row r="223" customFormat="false" ht="15" hidden="false" customHeight="false" outlineLevel="0" collapsed="false">
      <c r="A223" s="10"/>
      <c r="M223" s="10"/>
      <c r="P223" s="10"/>
    </row>
    <row r="224" customFormat="false" ht="15" hidden="false" customHeight="false" outlineLevel="0" collapsed="false">
      <c r="A224" s="10"/>
      <c r="M224" s="10"/>
      <c r="P224" s="10"/>
    </row>
    <row r="225" customFormat="false" ht="15" hidden="false" customHeight="false" outlineLevel="0" collapsed="false">
      <c r="A225" s="10"/>
      <c r="M225" s="10"/>
      <c r="P225" s="10"/>
    </row>
    <row r="226" customFormat="false" ht="15" hidden="false" customHeight="false" outlineLevel="0" collapsed="false">
      <c r="A226" s="10"/>
      <c r="M226" s="10"/>
      <c r="P226" s="10"/>
    </row>
    <row r="227" customFormat="false" ht="15" hidden="false" customHeight="false" outlineLevel="0" collapsed="false">
      <c r="A227" s="10"/>
      <c r="M227" s="10"/>
      <c r="P227" s="10"/>
    </row>
    <row r="228" customFormat="false" ht="15" hidden="false" customHeight="false" outlineLevel="0" collapsed="false">
      <c r="A228" s="10"/>
      <c r="M228" s="10"/>
      <c r="P228" s="10"/>
    </row>
    <row r="229" customFormat="false" ht="15" hidden="false" customHeight="false" outlineLevel="0" collapsed="false">
      <c r="A229" s="10"/>
      <c r="M229" s="10"/>
      <c r="P229" s="10"/>
    </row>
    <row r="230" customFormat="false" ht="15" hidden="false" customHeight="false" outlineLevel="0" collapsed="false">
      <c r="A230" s="10"/>
      <c r="M230" s="10"/>
      <c r="P230" s="10"/>
    </row>
    <row r="231" customFormat="false" ht="15" hidden="false" customHeight="false" outlineLevel="0" collapsed="false">
      <c r="A231" s="10"/>
      <c r="M231" s="10"/>
      <c r="P231" s="10"/>
    </row>
    <row r="232" customFormat="false" ht="15" hidden="false" customHeight="false" outlineLevel="0" collapsed="false">
      <c r="A232" s="10"/>
      <c r="M232" s="10"/>
      <c r="P232" s="10"/>
    </row>
    <row r="233" customFormat="false" ht="15" hidden="false" customHeight="false" outlineLevel="0" collapsed="false">
      <c r="A233" s="10"/>
      <c r="M233" s="10"/>
      <c r="P233" s="10"/>
    </row>
    <row r="234" customFormat="false" ht="15" hidden="false" customHeight="false" outlineLevel="0" collapsed="false">
      <c r="A234" s="10"/>
      <c r="M234" s="10"/>
      <c r="P234" s="10"/>
    </row>
    <row r="235" customFormat="false" ht="15" hidden="false" customHeight="false" outlineLevel="0" collapsed="false">
      <c r="A235" s="10"/>
      <c r="M235" s="10"/>
      <c r="P235" s="10"/>
    </row>
    <row r="236" customFormat="false" ht="15" hidden="false" customHeight="false" outlineLevel="0" collapsed="false">
      <c r="A236" s="10"/>
      <c r="M236" s="10"/>
      <c r="P236" s="10"/>
    </row>
    <row r="237" customFormat="false" ht="15" hidden="false" customHeight="false" outlineLevel="0" collapsed="false">
      <c r="A237" s="10"/>
      <c r="M237" s="10"/>
      <c r="P237" s="10"/>
    </row>
    <row r="238" customFormat="false" ht="15" hidden="false" customHeight="false" outlineLevel="0" collapsed="false">
      <c r="A238" s="10"/>
      <c r="M238" s="10"/>
      <c r="P238" s="10"/>
    </row>
    <row r="239" customFormat="false" ht="15" hidden="false" customHeight="false" outlineLevel="0" collapsed="false">
      <c r="A239" s="10"/>
      <c r="M239" s="10"/>
      <c r="P239" s="10"/>
    </row>
    <row r="240" customFormat="false" ht="15" hidden="false" customHeight="false" outlineLevel="0" collapsed="false">
      <c r="A240" s="10"/>
      <c r="M240" s="10"/>
      <c r="P240" s="10"/>
    </row>
    <row r="241" customFormat="false" ht="15" hidden="false" customHeight="false" outlineLevel="0" collapsed="false">
      <c r="A241" s="10"/>
      <c r="M241" s="10"/>
      <c r="P241" s="10"/>
    </row>
    <row r="242" customFormat="false" ht="15" hidden="false" customHeight="false" outlineLevel="0" collapsed="false">
      <c r="A242" s="10"/>
      <c r="M242" s="10"/>
      <c r="P242" s="10"/>
    </row>
    <row r="243" customFormat="false" ht="15" hidden="false" customHeight="false" outlineLevel="0" collapsed="false">
      <c r="A243" s="10"/>
      <c r="M243" s="10"/>
      <c r="P243" s="10"/>
    </row>
    <row r="244" customFormat="false" ht="15" hidden="false" customHeight="false" outlineLevel="0" collapsed="false">
      <c r="A244" s="10"/>
      <c r="M244" s="10"/>
      <c r="P244" s="10"/>
    </row>
    <row r="245" customFormat="false" ht="15" hidden="false" customHeight="false" outlineLevel="0" collapsed="false">
      <c r="A245" s="10"/>
      <c r="M245" s="10"/>
      <c r="P245" s="10"/>
    </row>
    <row r="246" customFormat="false" ht="15" hidden="false" customHeight="false" outlineLevel="0" collapsed="false">
      <c r="A246" s="10"/>
      <c r="M246" s="10"/>
      <c r="P246" s="10"/>
    </row>
    <row r="247" customFormat="false" ht="15" hidden="false" customHeight="false" outlineLevel="0" collapsed="false">
      <c r="A247" s="10"/>
      <c r="M247" s="10"/>
      <c r="P247" s="10"/>
    </row>
    <row r="248" customFormat="false" ht="15" hidden="false" customHeight="false" outlineLevel="0" collapsed="false">
      <c r="A248" s="10"/>
      <c r="M248" s="10"/>
      <c r="P248" s="10"/>
    </row>
    <row r="249" customFormat="false" ht="15" hidden="false" customHeight="false" outlineLevel="0" collapsed="false">
      <c r="A249" s="10"/>
      <c r="M249" s="10"/>
      <c r="P249" s="10"/>
    </row>
    <row r="250" customFormat="false" ht="15" hidden="false" customHeight="false" outlineLevel="0" collapsed="false">
      <c r="A250" s="10"/>
      <c r="M250" s="10"/>
      <c r="P250" s="10"/>
    </row>
    <row r="251" customFormat="false" ht="15" hidden="false" customHeight="false" outlineLevel="0" collapsed="false">
      <c r="A251" s="10"/>
      <c r="M251" s="10"/>
      <c r="P251" s="10"/>
    </row>
    <row r="252" customFormat="false" ht="15" hidden="false" customHeight="false" outlineLevel="0" collapsed="false">
      <c r="A252" s="10"/>
      <c r="M252" s="10"/>
      <c r="P252" s="10"/>
    </row>
    <row r="253" customFormat="false" ht="15" hidden="false" customHeight="false" outlineLevel="0" collapsed="false">
      <c r="A253" s="10"/>
      <c r="M253" s="10"/>
      <c r="P253" s="10"/>
    </row>
    <row r="254" customFormat="false" ht="15" hidden="false" customHeight="false" outlineLevel="0" collapsed="false">
      <c r="A254" s="10"/>
      <c r="M254" s="10"/>
      <c r="P254" s="10"/>
    </row>
    <row r="255" customFormat="false" ht="15" hidden="false" customHeight="false" outlineLevel="0" collapsed="false">
      <c r="A255" s="10"/>
      <c r="M255" s="10"/>
      <c r="P255" s="10"/>
    </row>
    <row r="256" customFormat="false" ht="15" hidden="false" customHeight="false" outlineLevel="0" collapsed="false">
      <c r="A256" s="10"/>
      <c r="M256" s="10"/>
      <c r="P256" s="10"/>
    </row>
    <row r="257" customFormat="false" ht="15" hidden="false" customHeight="false" outlineLevel="0" collapsed="false">
      <c r="A257" s="10"/>
      <c r="M257" s="10"/>
      <c r="P257" s="10"/>
    </row>
    <row r="258" customFormat="false" ht="15" hidden="false" customHeight="false" outlineLevel="0" collapsed="false">
      <c r="A258" s="10"/>
      <c r="M258" s="10"/>
      <c r="P258" s="10"/>
    </row>
    <row r="259" customFormat="false" ht="15" hidden="false" customHeight="false" outlineLevel="0" collapsed="false">
      <c r="A259" s="10"/>
      <c r="M259" s="10"/>
      <c r="P259" s="10"/>
    </row>
    <row r="260" customFormat="false" ht="15" hidden="false" customHeight="false" outlineLevel="0" collapsed="false">
      <c r="A260" s="10"/>
      <c r="M260" s="10"/>
      <c r="P260" s="10"/>
    </row>
    <row r="261" customFormat="false" ht="15" hidden="false" customHeight="false" outlineLevel="0" collapsed="false">
      <c r="A261" s="10"/>
      <c r="M261" s="10"/>
      <c r="P261" s="10"/>
    </row>
    <row r="262" customFormat="false" ht="15" hidden="false" customHeight="false" outlineLevel="0" collapsed="false">
      <c r="A262" s="10"/>
      <c r="M262" s="10"/>
      <c r="P262" s="10"/>
    </row>
    <row r="263" customFormat="false" ht="15" hidden="false" customHeight="false" outlineLevel="0" collapsed="false">
      <c r="A263" s="10"/>
      <c r="M263" s="10"/>
      <c r="P263" s="10"/>
    </row>
    <row r="264" customFormat="false" ht="15" hidden="false" customHeight="false" outlineLevel="0" collapsed="false">
      <c r="A264" s="10"/>
      <c r="M264" s="10"/>
      <c r="P264" s="10"/>
    </row>
    <row r="265" customFormat="false" ht="15" hidden="false" customHeight="false" outlineLevel="0" collapsed="false">
      <c r="A265" s="10"/>
      <c r="M265" s="10"/>
      <c r="P265" s="10"/>
    </row>
    <row r="266" customFormat="false" ht="15" hidden="false" customHeight="false" outlineLevel="0" collapsed="false">
      <c r="A266" s="10"/>
      <c r="M266" s="10"/>
      <c r="P266" s="10"/>
    </row>
    <row r="267" customFormat="false" ht="15" hidden="false" customHeight="false" outlineLevel="0" collapsed="false">
      <c r="A267" s="10"/>
      <c r="M267" s="10"/>
      <c r="P267" s="10"/>
    </row>
    <row r="268" customFormat="false" ht="15" hidden="false" customHeight="false" outlineLevel="0" collapsed="false">
      <c r="A268" s="10"/>
      <c r="M268" s="10"/>
      <c r="P268" s="10"/>
    </row>
    <row r="269" customFormat="false" ht="15" hidden="false" customHeight="false" outlineLevel="0" collapsed="false">
      <c r="A269" s="10"/>
      <c r="M269" s="10"/>
      <c r="P269" s="10"/>
    </row>
    <row r="270" customFormat="false" ht="15" hidden="false" customHeight="false" outlineLevel="0" collapsed="false">
      <c r="A270" s="10"/>
      <c r="M270" s="10"/>
      <c r="P270" s="10"/>
    </row>
    <row r="271" customFormat="false" ht="15" hidden="false" customHeight="false" outlineLevel="0" collapsed="false">
      <c r="A271" s="10"/>
      <c r="M271" s="10"/>
      <c r="P271" s="10"/>
    </row>
    <row r="272" customFormat="false" ht="15" hidden="false" customHeight="false" outlineLevel="0" collapsed="false">
      <c r="A272" s="10"/>
      <c r="M272" s="10"/>
      <c r="P272" s="10"/>
    </row>
    <row r="273" customFormat="false" ht="15" hidden="false" customHeight="false" outlineLevel="0" collapsed="false">
      <c r="A273" s="10"/>
      <c r="M273" s="10"/>
      <c r="P273" s="10"/>
    </row>
    <row r="274" customFormat="false" ht="15" hidden="false" customHeight="false" outlineLevel="0" collapsed="false">
      <c r="A274" s="10"/>
      <c r="M274" s="10"/>
      <c r="P274" s="10"/>
    </row>
    <row r="275" customFormat="false" ht="15" hidden="false" customHeight="false" outlineLevel="0" collapsed="false">
      <c r="A275" s="10"/>
      <c r="M275" s="10"/>
      <c r="P275" s="10"/>
    </row>
    <row r="276" customFormat="false" ht="15" hidden="false" customHeight="false" outlineLevel="0" collapsed="false">
      <c r="A276" s="10"/>
      <c r="M276" s="10"/>
      <c r="P276" s="10"/>
    </row>
    <row r="277" customFormat="false" ht="15" hidden="false" customHeight="false" outlineLevel="0" collapsed="false">
      <c r="A277" s="10"/>
      <c r="M277" s="10"/>
      <c r="P277" s="10"/>
    </row>
    <row r="278" customFormat="false" ht="15" hidden="false" customHeight="false" outlineLevel="0" collapsed="false">
      <c r="A278" s="10"/>
      <c r="M278" s="10"/>
      <c r="P278" s="10"/>
    </row>
    <row r="279" customFormat="false" ht="15" hidden="false" customHeight="false" outlineLevel="0" collapsed="false">
      <c r="A279" s="10"/>
      <c r="M279" s="10"/>
      <c r="P279" s="10"/>
    </row>
    <row r="280" customFormat="false" ht="15" hidden="false" customHeight="false" outlineLevel="0" collapsed="false">
      <c r="A280" s="10"/>
      <c r="M280" s="10"/>
      <c r="P280" s="10"/>
    </row>
    <row r="281" customFormat="false" ht="15" hidden="false" customHeight="false" outlineLevel="0" collapsed="false">
      <c r="A281" s="10"/>
      <c r="M281" s="10"/>
      <c r="P281" s="10"/>
    </row>
    <row r="282" customFormat="false" ht="15" hidden="false" customHeight="false" outlineLevel="0" collapsed="false">
      <c r="A282" s="10"/>
      <c r="M282" s="10"/>
      <c r="P282" s="10"/>
    </row>
    <row r="283" customFormat="false" ht="15" hidden="false" customHeight="false" outlineLevel="0" collapsed="false">
      <c r="A283" s="10"/>
      <c r="M283" s="10"/>
      <c r="P283" s="10"/>
    </row>
    <row r="284" customFormat="false" ht="15" hidden="false" customHeight="false" outlineLevel="0" collapsed="false">
      <c r="A284" s="10"/>
      <c r="M284" s="10"/>
      <c r="P284" s="10"/>
    </row>
    <row r="285" customFormat="false" ht="15" hidden="false" customHeight="false" outlineLevel="0" collapsed="false">
      <c r="A285" s="10"/>
      <c r="M285" s="10"/>
      <c r="P285" s="10"/>
    </row>
    <row r="286" customFormat="false" ht="15" hidden="false" customHeight="false" outlineLevel="0" collapsed="false">
      <c r="A286" s="10"/>
      <c r="M286" s="10"/>
      <c r="P286" s="10"/>
    </row>
    <row r="287" customFormat="false" ht="15" hidden="false" customHeight="false" outlineLevel="0" collapsed="false">
      <c r="A287" s="10"/>
      <c r="M287" s="10"/>
      <c r="P287" s="10"/>
    </row>
    <row r="288" customFormat="false" ht="15" hidden="false" customHeight="false" outlineLevel="0" collapsed="false">
      <c r="A288" s="10"/>
      <c r="M288" s="10"/>
      <c r="P288" s="10"/>
    </row>
    <row r="289" customFormat="false" ht="15" hidden="false" customHeight="false" outlineLevel="0" collapsed="false">
      <c r="A289" s="10"/>
      <c r="M289" s="10"/>
      <c r="P289" s="10"/>
    </row>
    <row r="290" customFormat="false" ht="15" hidden="false" customHeight="false" outlineLevel="0" collapsed="false">
      <c r="A290" s="10"/>
      <c r="M290" s="10"/>
      <c r="P290" s="10"/>
    </row>
    <row r="291" customFormat="false" ht="15" hidden="false" customHeight="false" outlineLevel="0" collapsed="false">
      <c r="A291" s="10"/>
      <c r="M291" s="10"/>
      <c r="P291" s="10"/>
    </row>
    <row r="292" customFormat="false" ht="15" hidden="false" customHeight="false" outlineLevel="0" collapsed="false">
      <c r="A292" s="10"/>
      <c r="M292" s="10"/>
      <c r="P292" s="10"/>
    </row>
    <row r="293" customFormat="false" ht="15" hidden="false" customHeight="false" outlineLevel="0" collapsed="false">
      <c r="A293" s="10"/>
      <c r="M293" s="10"/>
      <c r="P293" s="10"/>
    </row>
    <row r="294" customFormat="false" ht="15" hidden="false" customHeight="false" outlineLevel="0" collapsed="false">
      <c r="A294" s="10"/>
      <c r="M294" s="10"/>
      <c r="P294" s="10"/>
    </row>
    <row r="295" customFormat="false" ht="15" hidden="false" customHeight="false" outlineLevel="0" collapsed="false">
      <c r="A295" s="10"/>
      <c r="M295" s="10"/>
      <c r="P295" s="10"/>
    </row>
    <row r="296" customFormat="false" ht="15" hidden="false" customHeight="false" outlineLevel="0" collapsed="false">
      <c r="A296" s="10"/>
      <c r="M296" s="10"/>
      <c r="P296" s="10"/>
    </row>
    <row r="297" customFormat="false" ht="15" hidden="false" customHeight="false" outlineLevel="0" collapsed="false">
      <c r="A297" s="10"/>
      <c r="M297" s="10"/>
      <c r="P297" s="10"/>
    </row>
    <row r="298" customFormat="false" ht="15" hidden="false" customHeight="false" outlineLevel="0" collapsed="false">
      <c r="A298" s="10"/>
      <c r="M298" s="10"/>
      <c r="P298" s="10"/>
    </row>
    <row r="299" customFormat="false" ht="15" hidden="false" customHeight="false" outlineLevel="0" collapsed="false">
      <c r="A299" s="10"/>
      <c r="M299" s="10"/>
      <c r="P299" s="10"/>
    </row>
    <row r="300" customFormat="false" ht="15" hidden="false" customHeight="false" outlineLevel="0" collapsed="false">
      <c r="A300" s="10"/>
      <c r="M300" s="10"/>
      <c r="P300" s="10"/>
    </row>
    <row r="301" customFormat="false" ht="15" hidden="false" customHeight="false" outlineLevel="0" collapsed="false">
      <c r="A301" s="10"/>
      <c r="M301" s="10"/>
      <c r="P301" s="10"/>
    </row>
    <row r="302" customFormat="false" ht="15" hidden="false" customHeight="false" outlineLevel="0" collapsed="false">
      <c r="A302" s="10"/>
      <c r="M302" s="10"/>
      <c r="P302" s="10"/>
    </row>
    <row r="303" customFormat="false" ht="15" hidden="false" customHeight="false" outlineLevel="0" collapsed="false">
      <c r="A303" s="10"/>
      <c r="M303" s="10"/>
      <c r="P303" s="10"/>
    </row>
    <row r="304" customFormat="false" ht="15" hidden="false" customHeight="false" outlineLevel="0" collapsed="false">
      <c r="A304" s="10"/>
      <c r="M304" s="10"/>
      <c r="P304" s="10"/>
    </row>
    <row r="305" customFormat="false" ht="15" hidden="false" customHeight="false" outlineLevel="0" collapsed="false">
      <c r="A305" s="10"/>
      <c r="M305" s="10"/>
      <c r="P305" s="10"/>
    </row>
    <row r="306" customFormat="false" ht="15" hidden="false" customHeight="false" outlineLevel="0" collapsed="false">
      <c r="A306" s="10"/>
      <c r="M306" s="10"/>
      <c r="P306" s="10"/>
    </row>
    <row r="307" customFormat="false" ht="15" hidden="false" customHeight="false" outlineLevel="0" collapsed="false">
      <c r="A307" s="10"/>
      <c r="M307" s="10"/>
      <c r="P307" s="10"/>
    </row>
    <row r="308" customFormat="false" ht="15" hidden="false" customHeight="false" outlineLevel="0" collapsed="false">
      <c r="A308" s="10"/>
      <c r="M308" s="10"/>
      <c r="P308" s="10"/>
    </row>
    <row r="309" customFormat="false" ht="15" hidden="false" customHeight="false" outlineLevel="0" collapsed="false">
      <c r="A309" s="10"/>
      <c r="M309" s="10"/>
      <c r="P309" s="10"/>
    </row>
    <row r="310" customFormat="false" ht="15" hidden="false" customHeight="false" outlineLevel="0" collapsed="false">
      <c r="A310" s="10"/>
      <c r="M310" s="10"/>
      <c r="P310" s="10"/>
    </row>
    <row r="311" customFormat="false" ht="15" hidden="false" customHeight="false" outlineLevel="0" collapsed="false">
      <c r="A311" s="10"/>
      <c r="M311" s="10"/>
      <c r="P311" s="10"/>
    </row>
    <row r="312" customFormat="false" ht="15" hidden="false" customHeight="false" outlineLevel="0" collapsed="false">
      <c r="A312" s="10"/>
      <c r="M312" s="10"/>
      <c r="P312" s="10"/>
    </row>
    <row r="313" customFormat="false" ht="15" hidden="false" customHeight="false" outlineLevel="0" collapsed="false">
      <c r="A313" s="10"/>
      <c r="M313" s="10"/>
      <c r="P313" s="10"/>
    </row>
    <row r="314" customFormat="false" ht="15" hidden="false" customHeight="false" outlineLevel="0" collapsed="false">
      <c r="A314" s="10"/>
      <c r="M314" s="10"/>
      <c r="P314" s="10"/>
    </row>
    <row r="315" customFormat="false" ht="15" hidden="false" customHeight="false" outlineLevel="0" collapsed="false">
      <c r="A315" s="10"/>
      <c r="M315" s="10"/>
      <c r="P315" s="10"/>
    </row>
    <row r="316" customFormat="false" ht="15" hidden="false" customHeight="false" outlineLevel="0" collapsed="false">
      <c r="A316" s="10"/>
      <c r="M316" s="10"/>
      <c r="P316" s="10"/>
    </row>
    <row r="317" customFormat="false" ht="15" hidden="false" customHeight="false" outlineLevel="0" collapsed="false">
      <c r="A317" s="10"/>
      <c r="M317" s="10"/>
      <c r="P317" s="10"/>
    </row>
    <row r="318" customFormat="false" ht="15" hidden="false" customHeight="false" outlineLevel="0" collapsed="false">
      <c r="A318" s="10"/>
      <c r="M318" s="10"/>
      <c r="P318" s="10"/>
    </row>
    <row r="319" customFormat="false" ht="15" hidden="false" customHeight="false" outlineLevel="0" collapsed="false">
      <c r="A319" s="10"/>
      <c r="M319" s="10"/>
      <c r="P319" s="10"/>
    </row>
    <row r="320" customFormat="false" ht="15" hidden="false" customHeight="false" outlineLevel="0" collapsed="false">
      <c r="A320" s="10"/>
      <c r="M320" s="10"/>
      <c r="P320" s="10"/>
    </row>
    <row r="321" customFormat="false" ht="15" hidden="false" customHeight="false" outlineLevel="0" collapsed="false">
      <c r="A321" s="10"/>
      <c r="M321" s="10"/>
      <c r="P321" s="10"/>
    </row>
    <row r="322" customFormat="false" ht="15" hidden="false" customHeight="false" outlineLevel="0" collapsed="false">
      <c r="A322" s="10"/>
      <c r="M322" s="10"/>
      <c r="P322" s="10"/>
    </row>
    <row r="323" customFormat="false" ht="15" hidden="false" customHeight="false" outlineLevel="0" collapsed="false">
      <c r="A323" s="10"/>
      <c r="M323" s="10"/>
      <c r="P323" s="10"/>
    </row>
    <row r="324" customFormat="false" ht="15" hidden="false" customHeight="false" outlineLevel="0" collapsed="false">
      <c r="A324" s="10"/>
      <c r="M324" s="10"/>
      <c r="P324" s="10"/>
    </row>
    <row r="325" customFormat="false" ht="15" hidden="false" customHeight="false" outlineLevel="0" collapsed="false">
      <c r="A325" s="10"/>
      <c r="M325" s="10"/>
      <c r="P325" s="10"/>
    </row>
    <row r="326" customFormat="false" ht="15" hidden="false" customHeight="false" outlineLevel="0" collapsed="false">
      <c r="A326" s="10"/>
      <c r="M326" s="10"/>
      <c r="P326" s="10"/>
    </row>
    <row r="327" customFormat="false" ht="15" hidden="false" customHeight="false" outlineLevel="0" collapsed="false">
      <c r="A327" s="10"/>
      <c r="M327" s="10"/>
      <c r="P327" s="10"/>
    </row>
    <row r="328" customFormat="false" ht="15" hidden="false" customHeight="false" outlineLevel="0" collapsed="false">
      <c r="A328" s="10"/>
      <c r="M328" s="10"/>
      <c r="P328" s="10"/>
    </row>
    <row r="329" customFormat="false" ht="15" hidden="false" customHeight="false" outlineLevel="0" collapsed="false">
      <c r="A329" s="10"/>
      <c r="M329" s="10"/>
      <c r="P329" s="10"/>
    </row>
    <row r="330" customFormat="false" ht="15" hidden="false" customHeight="false" outlineLevel="0" collapsed="false">
      <c r="A330" s="10"/>
      <c r="M330" s="10"/>
      <c r="P330" s="10"/>
    </row>
    <row r="331" customFormat="false" ht="15" hidden="false" customHeight="false" outlineLevel="0" collapsed="false">
      <c r="A331" s="10"/>
      <c r="M331" s="10"/>
      <c r="P331" s="10"/>
    </row>
    <row r="332" customFormat="false" ht="15" hidden="false" customHeight="false" outlineLevel="0" collapsed="false">
      <c r="A332" s="10"/>
      <c r="M332" s="10"/>
      <c r="P332" s="10"/>
    </row>
    <row r="333" customFormat="false" ht="15" hidden="false" customHeight="false" outlineLevel="0" collapsed="false">
      <c r="A333" s="10"/>
      <c r="M333" s="10"/>
      <c r="P333" s="10"/>
    </row>
    <row r="334" customFormat="false" ht="15" hidden="false" customHeight="false" outlineLevel="0" collapsed="false">
      <c r="A334" s="10"/>
      <c r="M334" s="10"/>
      <c r="P334" s="10"/>
    </row>
    <row r="335" customFormat="false" ht="15" hidden="false" customHeight="false" outlineLevel="0" collapsed="false">
      <c r="A335" s="10"/>
      <c r="M335" s="10"/>
      <c r="P335" s="10"/>
    </row>
    <row r="336" customFormat="false" ht="15" hidden="false" customHeight="false" outlineLevel="0" collapsed="false">
      <c r="A336" s="10"/>
      <c r="M336" s="10"/>
      <c r="P336" s="10"/>
    </row>
    <row r="337" customFormat="false" ht="15" hidden="false" customHeight="false" outlineLevel="0" collapsed="false">
      <c r="A337" s="10"/>
      <c r="M337" s="10"/>
      <c r="P337" s="10"/>
    </row>
    <row r="338" customFormat="false" ht="15" hidden="false" customHeight="false" outlineLevel="0" collapsed="false">
      <c r="A338" s="10"/>
      <c r="M338" s="10"/>
      <c r="P338" s="10"/>
    </row>
    <row r="339" customFormat="false" ht="15" hidden="false" customHeight="false" outlineLevel="0" collapsed="false">
      <c r="A339" s="10"/>
      <c r="M339" s="10"/>
      <c r="P339" s="10"/>
    </row>
    <row r="340" customFormat="false" ht="15" hidden="false" customHeight="false" outlineLevel="0" collapsed="false">
      <c r="A340" s="10"/>
      <c r="M340" s="10"/>
      <c r="P340" s="10"/>
    </row>
    <row r="341" customFormat="false" ht="15" hidden="false" customHeight="false" outlineLevel="0" collapsed="false">
      <c r="A341" s="10"/>
      <c r="M341" s="10"/>
      <c r="P341" s="10"/>
    </row>
    <row r="342" customFormat="false" ht="15" hidden="false" customHeight="false" outlineLevel="0" collapsed="false">
      <c r="A342" s="10"/>
      <c r="M342" s="10"/>
      <c r="P342" s="10"/>
    </row>
    <row r="343" customFormat="false" ht="15" hidden="false" customHeight="false" outlineLevel="0" collapsed="false">
      <c r="A343" s="10"/>
      <c r="M343" s="10"/>
      <c r="P343" s="10"/>
    </row>
    <row r="344" customFormat="false" ht="15" hidden="false" customHeight="false" outlineLevel="0" collapsed="false">
      <c r="A344" s="10"/>
      <c r="M344" s="10"/>
      <c r="P344" s="10"/>
    </row>
    <row r="345" customFormat="false" ht="15" hidden="false" customHeight="false" outlineLevel="0" collapsed="false">
      <c r="A345" s="10"/>
      <c r="M345" s="10"/>
      <c r="P345" s="10"/>
    </row>
    <row r="346" customFormat="false" ht="15" hidden="false" customHeight="false" outlineLevel="0" collapsed="false">
      <c r="A346" s="10"/>
      <c r="M346" s="10"/>
      <c r="P346" s="10"/>
    </row>
    <row r="347" customFormat="false" ht="15" hidden="false" customHeight="false" outlineLevel="0" collapsed="false">
      <c r="A347" s="10"/>
      <c r="M347" s="10"/>
      <c r="P347" s="10"/>
    </row>
    <row r="348" customFormat="false" ht="15" hidden="false" customHeight="false" outlineLevel="0" collapsed="false">
      <c r="A348" s="10"/>
      <c r="M348" s="10"/>
      <c r="P348" s="10"/>
    </row>
    <row r="349" customFormat="false" ht="15" hidden="false" customHeight="false" outlineLevel="0" collapsed="false">
      <c r="A349" s="10"/>
      <c r="M349" s="10"/>
      <c r="P349" s="10"/>
    </row>
    <row r="350" customFormat="false" ht="15" hidden="false" customHeight="false" outlineLevel="0" collapsed="false">
      <c r="A350" s="10"/>
      <c r="M350" s="10"/>
      <c r="P350" s="10"/>
    </row>
    <row r="351" customFormat="false" ht="15" hidden="false" customHeight="false" outlineLevel="0" collapsed="false">
      <c r="A351" s="10"/>
      <c r="M351" s="10"/>
      <c r="P351" s="10"/>
    </row>
    <row r="352" customFormat="false" ht="15" hidden="false" customHeight="false" outlineLevel="0" collapsed="false">
      <c r="A352" s="10"/>
      <c r="M352" s="10"/>
      <c r="P352" s="10"/>
    </row>
    <row r="353" customFormat="false" ht="15" hidden="false" customHeight="false" outlineLevel="0" collapsed="false">
      <c r="A353" s="10"/>
      <c r="M353" s="10"/>
      <c r="P353" s="10"/>
    </row>
    <row r="354" customFormat="false" ht="15" hidden="false" customHeight="false" outlineLevel="0" collapsed="false">
      <c r="A354" s="10"/>
      <c r="M354" s="10"/>
      <c r="P354" s="10"/>
    </row>
    <row r="355" customFormat="false" ht="15" hidden="false" customHeight="false" outlineLevel="0" collapsed="false">
      <c r="A355" s="10"/>
      <c r="M355" s="10"/>
      <c r="P355" s="10"/>
    </row>
    <row r="356" customFormat="false" ht="15" hidden="false" customHeight="false" outlineLevel="0" collapsed="false">
      <c r="A356" s="10"/>
      <c r="M356" s="10"/>
      <c r="P356" s="10"/>
    </row>
    <row r="357" customFormat="false" ht="15" hidden="false" customHeight="false" outlineLevel="0" collapsed="false">
      <c r="A357" s="10"/>
      <c r="M357" s="10"/>
      <c r="P357" s="10"/>
    </row>
    <row r="358" customFormat="false" ht="15" hidden="false" customHeight="false" outlineLevel="0" collapsed="false">
      <c r="A358" s="10"/>
      <c r="M358" s="10"/>
      <c r="P358" s="10"/>
    </row>
    <row r="359" customFormat="false" ht="15" hidden="false" customHeight="false" outlineLevel="0" collapsed="false">
      <c r="A359" s="10"/>
      <c r="M359" s="10"/>
      <c r="P359" s="10"/>
    </row>
    <row r="360" customFormat="false" ht="15" hidden="false" customHeight="false" outlineLevel="0" collapsed="false">
      <c r="A360" s="10"/>
      <c r="M360" s="10"/>
      <c r="P360" s="10"/>
    </row>
    <row r="361" customFormat="false" ht="15" hidden="false" customHeight="false" outlineLevel="0" collapsed="false">
      <c r="A361" s="10"/>
      <c r="M361" s="10"/>
      <c r="P361" s="10"/>
    </row>
    <row r="362" customFormat="false" ht="15" hidden="false" customHeight="false" outlineLevel="0" collapsed="false">
      <c r="A362" s="10"/>
      <c r="M362" s="10"/>
      <c r="P362" s="10"/>
    </row>
    <row r="363" customFormat="false" ht="15" hidden="false" customHeight="false" outlineLevel="0" collapsed="false">
      <c r="A363" s="10"/>
      <c r="M363" s="10"/>
      <c r="P363" s="10"/>
    </row>
    <row r="364" customFormat="false" ht="15" hidden="false" customHeight="false" outlineLevel="0" collapsed="false">
      <c r="A364" s="10"/>
      <c r="M364" s="10"/>
      <c r="P364" s="10"/>
    </row>
    <row r="365" customFormat="false" ht="15" hidden="false" customHeight="false" outlineLevel="0" collapsed="false">
      <c r="A365" s="10"/>
      <c r="M365" s="10"/>
      <c r="P365" s="10"/>
    </row>
    <row r="366" customFormat="false" ht="15" hidden="false" customHeight="false" outlineLevel="0" collapsed="false">
      <c r="A366" s="10"/>
      <c r="M366" s="10"/>
      <c r="P366" s="10"/>
    </row>
    <row r="367" customFormat="false" ht="15" hidden="false" customHeight="false" outlineLevel="0" collapsed="false">
      <c r="A367" s="10"/>
      <c r="M367" s="10"/>
      <c r="P367" s="10"/>
    </row>
    <row r="368" customFormat="false" ht="15" hidden="false" customHeight="false" outlineLevel="0" collapsed="false">
      <c r="A368" s="10"/>
      <c r="M368" s="10"/>
      <c r="P368" s="10"/>
    </row>
    <row r="369" customFormat="false" ht="15" hidden="false" customHeight="false" outlineLevel="0" collapsed="false">
      <c r="A369" s="10"/>
      <c r="M369" s="10"/>
      <c r="P369" s="10"/>
    </row>
    <row r="370" customFormat="false" ht="15" hidden="false" customHeight="false" outlineLevel="0" collapsed="false">
      <c r="A370" s="10"/>
      <c r="M370" s="10"/>
      <c r="P370" s="10"/>
    </row>
    <row r="371" customFormat="false" ht="15" hidden="false" customHeight="false" outlineLevel="0" collapsed="false">
      <c r="A371" s="10"/>
      <c r="M371" s="10"/>
      <c r="P371" s="10"/>
    </row>
    <row r="372" customFormat="false" ht="15" hidden="false" customHeight="false" outlineLevel="0" collapsed="false">
      <c r="A372" s="10"/>
      <c r="M372" s="10"/>
      <c r="P372" s="10"/>
    </row>
    <row r="373" customFormat="false" ht="15" hidden="false" customHeight="false" outlineLevel="0" collapsed="false">
      <c r="A373" s="10"/>
      <c r="M373" s="10"/>
      <c r="P373" s="10"/>
    </row>
    <row r="374" customFormat="false" ht="15" hidden="false" customHeight="false" outlineLevel="0" collapsed="false">
      <c r="A374" s="10"/>
      <c r="M374" s="10"/>
      <c r="P374" s="10"/>
    </row>
    <row r="375" customFormat="false" ht="15" hidden="false" customHeight="false" outlineLevel="0" collapsed="false">
      <c r="A375" s="10"/>
      <c r="M375" s="10"/>
      <c r="P375" s="10"/>
    </row>
    <row r="376" customFormat="false" ht="15" hidden="false" customHeight="false" outlineLevel="0" collapsed="false">
      <c r="A376" s="10"/>
      <c r="M376" s="10"/>
      <c r="P376" s="10"/>
    </row>
    <row r="377" customFormat="false" ht="15" hidden="false" customHeight="false" outlineLevel="0" collapsed="false">
      <c r="A377" s="10"/>
      <c r="M377" s="10"/>
      <c r="P377" s="10"/>
    </row>
    <row r="378" customFormat="false" ht="15" hidden="false" customHeight="false" outlineLevel="0" collapsed="false">
      <c r="A378" s="10"/>
      <c r="M378" s="10"/>
      <c r="P378" s="10"/>
    </row>
    <row r="379" customFormat="false" ht="15" hidden="false" customHeight="false" outlineLevel="0" collapsed="false">
      <c r="A379" s="10"/>
      <c r="M379" s="10"/>
      <c r="P379" s="10"/>
    </row>
    <row r="380" customFormat="false" ht="15" hidden="false" customHeight="false" outlineLevel="0" collapsed="false">
      <c r="A380" s="10"/>
      <c r="M380" s="10"/>
      <c r="P380" s="10"/>
    </row>
    <row r="381" customFormat="false" ht="15" hidden="false" customHeight="false" outlineLevel="0" collapsed="false">
      <c r="A381" s="10"/>
      <c r="M381" s="10"/>
      <c r="P381" s="10"/>
    </row>
    <row r="382" customFormat="false" ht="15" hidden="false" customHeight="false" outlineLevel="0" collapsed="false">
      <c r="A382" s="10"/>
      <c r="M382" s="10"/>
      <c r="P382" s="10"/>
    </row>
    <row r="383" customFormat="false" ht="15" hidden="false" customHeight="false" outlineLevel="0" collapsed="false">
      <c r="A383" s="10"/>
      <c r="M383" s="10"/>
      <c r="P383" s="10"/>
    </row>
    <row r="384" customFormat="false" ht="15" hidden="false" customHeight="false" outlineLevel="0" collapsed="false">
      <c r="A384" s="10"/>
      <c r="M384" s="10"/>
      <c r="P384" s="10"/>
    </row>
    <row r="385" customFormat="false" ht="15" hidden="false" customHeight="false" outlineLevel="0" collapsed="false">
      <c r="A385" s="10"/>
      <c r="M385" s="10"/>
      <c r="P385" s="10"/>
    </row>
    <row r="386" customFormat="false" ht="15" hidden="false" customHeight="false" outlineLevel="0" collapsed="false">
      <c r="A386" s="10"/>
      <c r="M386" s="10"/>
      <c r="P386" s="10"/>
    </row>
    <row r="387" customFormat="false" ht="15" hidden="false" customHeight="false" outlineLevel="0" collapsed="false">
      <c r="A387" s="10"/>
      <c r="M387" s="10"/>
      <c r="P387" s="10"/>
    </row>
    <row r="388" customFormat="false" ht="15" hidden="false" customHeight="false" outlineLevel="0" collapsed="false">
      <c r="A388" s="10"/>
      <c r="M388" s="10"/>
      <c r="P388" s="10"/>
    </row>
    <row r="389" customFormat="false" ht="15" hidden="false" customHeight="false" outlineLevel="0" collapsed="false">
      <c r="A389" s="10"/>
      <c r="M389" s="10"/>
      <c r="P389" s="10"/>
    </row>
    <row r="390" customFormat="false" ht="15" hidden="false" customHeight="false" outlineLevel="0" collapsed="false">
      <c r="A390" s="10"/>
      <c r="M390" s="10"/>
      <c r="P390" s="10"/>
    </row>
    <row r="391" customFormat="false" ht="15" hidden="false" customHeight="false" outlineLevel="0" collapsed="false">
      <c r="A391" s="10"/>
      <c r="M391" s="10"/>
      <c r="P391" s="10"/>
    </row>
    <row r="392" customFormat="false" ht="15" hidden="false" customHeight="false" outlineLevel="0" collapsed="false">
      <c r="A392" s="10"/>
      <c r="M392" s="10"/>
      <c r="P392" s="10"/>
    </row>
    <row r="393" customFormat="false" ht="15" hidden="false" customHeight="false" outlineLevel="0" collapsed="false">
      <c r="A393" s="10"/>
      <c r="M393" s="10"/>
      <c r="P393" s="10"/>
    </row>
    <row r="394" customFormat="false" ht="15" hidden="false" customHeight="false" outlineLevel="0" collapsed="false">
      <c r="A394" s="10"/>
      <c r="M394" s="10"/>
      <c r="P394" s="10"/>
    </row>
    <row r="395" customFormat="false" ht="15" hidden="false" customHeight="false" outlineLevel="0" collapsed="false">
      <c r="A395" s="10"/>
      <c r="M395" s="10"/>
      <c r="P395" s="10"/>
    </row>
    <row r="396" customFormat="false" ht="15" hidden="false" customHeight="false" outlineLevel="0" collapsed="false">
      <c r="A396" s="10"/>
      <c r="M396" s="10"/>
      <c r="P396" s="10"/>
    </row>
    <row r="397" customFormat="false" ht="15" hidden="false" customHeight="false" outlineLevel="0" collapsed="false">
      <c r="A397" s="10"/>
      <c r="M397" s="10"/>
      <c r="P397" s="10"/>
    </row>
    <row r="398" customFormat="false" ht="15" hidden="false" customHeight="false" outlineLevel="0" collapsed="false">
      <c r="A398" s="10"/>
      <c r="M398" s="10"/>
      <c r="P398" s="10"/>
    </row>
    <row r="399" customFormat="false" ht="15" hidden="false" customHeight="false" outlineLevel="0" collapsed="false">
      <c r="A399" s="10"/>
      <c r="M399" s="10"/>
      <c r="P399" s="10"/>
    </row>
    <row r="400" customFormat="false" ht="15" hidden="false" customHeight="false" outlineLevel="0" collapsed="false">
      <c r="A400" s="10"/>
      <c r="M400" s="10"/>
      <c r="P400" s="10"/>
    </row>
    <row r="401" customFormat="false" ht="15" hidden="false" customHeight="false" outlineLevel="0" collapsed="false">
      <c r="A401" s="10"/>
      <c r="M401" s="10"/>
      <c r="P401" s="10"/>
    </row>
    <row r="402" customFormat="false" ht="15" hidden="false" customHeight="false" outlineLevel="0" collapsed="false">
      <c r="A402" s="10"/>
      <c r="M402" s="10"/>
      <c r="P402" s="10"/>
    </row>
    <row r="403" customFormat="false" ht="15" hidden="false" customHeight="false" outlineLevel="0" collapsed="false">
      <c r="A403" s="10"/>
      <c r="M403" s="10"/>
      <c r="P403" s="10"/>
    </row>
    <row r="404" customFormat="false" ht="15" hidden="false" customHeight="false" outlineLevel="0" collapsed="false">
      <c r="A404" s="10"/>
      <c r="M404" s="10"/>
      <c r="P404" s="10"/>
    </row>
    <row r="405" customFormat="false" ht="15" hidden="false" customHeight="false" outlineLevel="0" collapsed="false">
      <c r="A405" s="10"/>
      <c r="M405" s="10"/>
      <c r="P405" s="10"/>
    </row>
    <row r="406" customFormat="false" ht="15" hidden="false" customHeight="false" outlineLevel="0" collapsed="false">
      <c r="A406" s="10"/>
      <c r="M406" s="10"/>
      <c r="P406" s="10"/>
    </row>
    <row r="407" customFormat="false" ht="15" hidden="false" customHeight="false" outlineLevel="0" collapsed="false">
      <c r="A407" s="10"/>
      <c r="M407" s="10"/>
      <c r="P407" s="10"/>
    </row>
    <row r="408" customFormat="false" ht="15" hidden="false" customHeight="false" outlineLevel="0" collapsed="false">
      <c r="A408" s="10"/>
      <c r="M408" s="10"/>
      <c r="P408" s="10"/>
    </row>
    <row r="409" customFormat="false" ht="15" hidden="false" customHeight="false" outlineLevel="0" collapsed="false">
      <c r="A409" s="10"/>
      <c r="M409" s="10"/>
      <c r="P409" s="10"/>
    </row>
    <row r="410" customFormat="false" ht="15" hidden="false" customHeight="false" outlineLevel="0" collapsed="false">
      <c r="A410" s="10"/>
      <c r="M410" s="10"/>
      <c r="P410" s="10"/>
    </row>
    <row r="411" customFormat="false" ht="15" hidden="false" customHeight="false" outlineLevel="0" collapsed="false">
      <c r="A411" s="10"/>
      <c r="M411" s="10"/>
      <c r="P411" s="10"/>
    </row>
    <row r="412" customFormat="false" ht="15" hidden="false" customHeight="false" outlineLevel="0" collapsed="false">
      <c r="A412" s="10"/>
      <c r="M412" s="10"/>
      <c r="P412" s="10"/>
    </row>
    <row r="413" customFormat="false" ht="15" hidden="false" customHeight="false" outlineLevel="0" collapsed="false">
      <c r="A413" s="10"/>
      <c r="M413" s="10"/>
      <c r="P413" s="10"/>
    </row>
    <row r="414" customFormat="false" ht="15" hidden="false" customHeight="false" outlineLevel="0" collapsed="false">
      <c r="A414" s="10"/>
      <c r="M414" s="10"/>
      <c r="P414" s="10"/>
    </row>
    <row r="415" customFormat="false" ht="15" hidden="false" customHeight="false" outlineLevel="0" collapsed="false">
      <c r="A415" s="10"/>
      <c r="M415" s="10"/>
      <c r="P415" s="10"/>
    </row>
    <row r="416" customFormat="false" ht="15" hidden="false" customHeight="false" outlineLevel="0" collapsed="false">
      <c r="A416" s="10"/>
      <c r="M416" s="10"/>
      <c r="P416" s="10"/>
    </row>
    <row r="417" customFormat="false" ht="15" hidden="false" customHeight="false" outlineLevel="0" collapsed="false">
      <c r="A417" s="10"/>
      <c r="M417" s="10"/>
      <c r="P417" s="10"/>
    </row>
    <row r="418" customFormat="false" ht="15" hidden="false" customHeight="false" outlineLevel="0" collapsed="false">
      <c r="A418" s="10"/>
      <c r="M418" s="10"/>
      <c r="P418" s="10"/>
    </row>
    <row r="419" customFormat="false" ht="15" hidden="false" customHeight="false" outlineLevel="0" collapsed="false">
      <c r="A419" s="10"/>
      <c r="M419" s="10"/>
      <c r="P419" s="10"/>
    </row>
    <row r="420" customFormat="false" ht="15" hidden="false" customHeight="false" outlineLevel="0" collapsed="false">
      <c r="A420" s="10"/>
      <c r="M420" s="10"/>
      <c r="P420" s="10"/>
    </row>
    <row r="421" customFormat="false" ht="15" hidden="false" customHeight="false" outlineLevel="0" collapsed="false">
      <c r="A421" s="10"/>
      <c r="M421" s="10"/>
      <c r="P421" s="10"/>
    </row>
    <row r="422" customFormat="false" ht="15" hidden="false" customHeight="false" outlineLevel="0" collapsed="false">
      <c r="A422" s="10"/>
      <c r="M422" s="10"/>
      <c r="P422" s="10"/>
    </row>
    <row r="423" customFormat="false" ht="15" hidden="false" customHeight="false" outlineLevel="0" collapsed="false">
      <c r="A423" s="10"/>
      <c r="M423" s="10"/>
      <c r="P423" s="10"/>
    </row>
    <row r="424" customFormat="false" ht="15" hidden="false" customHeight="false" outlineLevel="0" collapsed="false">
      <c r="A424" s="10"/>
      <c r="M424" s="10"/>
      <c r="P424" s="10"/>
    </row>
    <row r="425" customFormat="false" ht="15" hidden="false" customHeight="false" outlineLevel="0" collapsed="false">
      <c r="A425" s="10"/>
      <c r="M425" s="10"/>
      <c r="P425" s="10"/>
    </row>
    <row r="426" customFormat="false" ht="15" hidden="false" customHeight="false" outlineLevel="0" collapsed="false">
      <c r="A426" s="10"/>
      <c r="M426" s="10"/>
      <c r="P426" s="10"/>
    </row>
    <row r="427" customFormat="false" ht="15" hidden="false" customHeight="false" outlineLevel="0" collapsed="false">
      <c r="A427" s="10"/>
      <c r="M427" s="10"/>
      <c r="P427" s="10"/>
    </row>
    <row r="428" customFormat="false" ht="15" hidden="false" customHeight="false" outlineLevel="0" collapsed="false">
      <c r="A428" s="10"/>
      <c r="M428" s="10"/>
      <c r="P428" s="10"/>
    </row>
    <row r="429" customFormat="false" ht="15" hidden="false" customHeight="false" outlineLevel="0" collapsed="false">
      <c r="A429" s="10"/>
      <c r="M429" s="10"/>
      <c r="P429" s="10"/>
    </row>
    <row r="430" customFormat="false" ht="15" hidden="false" customHeight="false" outlineLevel="0" collapsed="false">
      <c r="A430" s="10"/>
      <c r="M430" s="10"/>
      <c r="P430" s="10"/>
    </row>
    <row r="431" customFormat="false" ht="15" hidden="false" customHeight="false" outlineLevel="0" collapsed="false">
      <c r="A431" s="10"/>
      <c r="M431" s="10"/>
      <c r="P431" s="10"/>
    </row>
    <row r="432" customFormat="false" ht="15" hidden="false" customHeight="false" outlineLevel="0" collapsed="false">
      <c r="A432" s="10"/>
      <c r="M432" s="10"/>
      <c r="P432" s="10"/>
    </row>
    <row r="433" customFormat="false" ht="15" hidden="false" customHeight="false" outlineLevel="0" collapsed="false">
      <c r="A433" s="10"/>
      <c r="M433" s="10"/>
      <c r="P433" s="10"/>
    </row>
    <row r="434" customFormat="false" ht="15" hidden="false" customHeight="false" outlineLevel="0" collapsed="false">
      <c r="A434" s="10"/>
      <c r="M434" s="10"/>
      <c r="P434" s="10"/>
    </row>
    <row r="435" customFormat="false" ht="15" hidden="false" customHeight="false" outlineLevel="0" collapsed="false">
      <c r="A435" s="10"/>
      <c r="M435" s="10"/>
      <c r="P435" s="10"/>
    </row>
    <row r="436" customFormat="false" ht="15" hidden="false" customHeight="false" outlineLevel="0" collapsed="false">
      <c r="A436" s="10"/>
      <c r="M436" s="10"/>
      <c r="P436" s="10"/>
    </row>
    <row r="437" customFormat="false" ht="15" hidden="false" customHeight="false" outlineLevel="0" collapsed="false">
      <c r="A437" s="10"/>
      <c r="M437" s="10"/>
      <c r="P437" s="10"/>
    </row>
    <row r="438" customFormat="false" ht="15" hidden="false" customHeight="false" outlineLevel="0" collapsed="false">
      <c r="A438" s="10"/>
      <c r="M438" s="10"/>
      <c r="P438" s="10"/>
    </row>
    <row r="439" customFormat="false" ht="15" hidden="false" customHeight="false" outlineLevel="0" collapsed="false">
      <c r="A439" s="10"/>
      <c r="M439" s="10"/>
      <c r="P439" s="10"/>
    </row>
    <row r="440" customFormat="false" ht="15" hidden="false" customHeight="false" outlineLevel="0" collapsed="false">
      <c r="A440" s="10"/>
      <c r="M440" s="10"/>
      <c r="P440" s="10"/>
    </row>
    <row r="441" customFormat="false" ht="15" hidden="false" customHeight="false" outlineLevel="0" collapsed="false">
      <c r="A441" s="10"/>
      <c r="M441" s="10"/>
      <c r="P441" s="10"/>
    </row>
    <row r="442" customFormat="false" ht="15" hidden="false" customHeight="false" outlineLevel="0" collapsed="false">
      <c r="A442" s="10"/>
      <c r="M442" s="10"/>
      <c r="P442" s="10"/>
    </row>
    <row r="443" customFormat="false" ht="15" hidden="false" customHeight="false" outlineLevel="0" collapsed="false">
      <c r="A443" s="10"/>
      <c r="M443" s="10"/>
      <c r="P443" s="10"/>
    </row>
    <row r="444" customFormat="false" ht="15" hidden="false" customHeight="false" outlineLevel="0" collapsed="false">
      <c r="A444" s="10"/>
      <c r="M444" s="10"/>
      <c r="P444" s="10"/>
    </row>
    <row r="445" customFormat="false" ht="15" hidden="false" customHeight="false" outlineLevel="0" collapsed="false">
      <c r="A445" s="10"/>
      <c r="M445" s="10"/>
      <c r="P445" s="10"/>
    </row>
    <row r="446" customFormat="false" ht="15" hidden="false" customHeight="false" outlineLevel="0" collapsed="false">
      <c r="A446" s="10"/>
      <c r="M446" s="10"/>
      <c r="P446" s="10"/>
    </row>
    <row r="447" customFormat="false" ht="15" hidden="false" customHeight="false" outlineLevel="0" collapsed="false">
      <c r="A447" s="10"/>
      <c r="M447" s="10"/>
      <c r="P447" s="10"/>
    </row>
    <row r="448" customFormat="false" ht="15" hidden="false" customHeight="false" outlineLevel="0" collapsed="false">
      <c r="A448" s="10"/>
      <c r="M448" s="10"/>
      <c r="P448" s="10"/>
    </row>
    <row r="449" customFormat="false" ht="15" hidden="false" customHeight="false" outlineLevel="0" collapsed="false">
      <c r="A449" s="10"/>
      <c r="M449" s="10"/>
      <c r="P449" s="10"/>
    </row>
    <row r="450" customFormat="false" ht="15" hidden="false" customHeight="false" outlineLevel="0" collapsed="false">
      <c r="A450" s="10"/>
      <c r="M450" s="10"/>
      <c r="P450" s="10"/>
    </row>
    <row r="451" customFormat="false" ht="15" hidden="false" customHeight="false" outlineLevel="0" collapsed="false">
      <c r="A451" s="10"/>
      <c r="M451" s="10"/>
      <c r="P451" s="10"/>
    </row>
    <row r="452" customFormat="false" ht="15" hidden="false" customHeight="false" outlineLevel="0" collapsed="false">
      <c r="A452" s="10"/>
      <c r="M452" s="10"/>
      <c r="P452" s="10"/>
    </row>
    <row r="453" customFormat="false" ht="15" hidden="false" customHeight="false" outlineLevel="0" collapsed="false">
      <c r="A453" s="10"/>
      <c r="M453" s="10"/>
      <c r="P453" s="10"/>
    </row>
    <row r="454" customFormat="false" ht="15" hidden="false" customHeight="false" outlineLevel="0" collapsed="false">
      <c r="A454" s="10"/>
      <c r="M454" s="10"/>
      <c r="P454" s="10"/>
    </row>
    <row r="455" customFormat="false" ht="15" hidden="false" customHeight="false" outlineLevel="0" collapsed="false">
      <c r="A455" s="10"/>
      <c r="M455" s="10"/>
      <c r="P455" s="10"/>
    </row>
    <row r="456" customFormat="false" ht="15" hidden="false" customHeight="false" outlineLevel="0" collapsed="false">
      <c r="A456" s="10"/>
      <c r="M456" s="10"/>
      <c r="P456" s="10"/>
    </row>
    <row r="457" customFormat="false" ht="15" hidden="false" customHeight="false" outlineLevel="0" collapsed="false">
      <c r="A457" s="10"/>
      <c r="M457" s="10"/>
      <c r="P457" s="10"/>
    </row>
    <row r="458" customFormat="false" ht="15" hidden="false" customHeight="false" outlineLevel="0" collapsed="false">
      <c r="A458" s="10"/>
      <c r="M458" s="10"/>
      <c r="P458" s="10"/>
    </row>
    <row r="459" customFormat="false" ht="15" hidden="false" customHeight="false" outlineLevel="0" collapsed="false">
      <c r="A459" s="10"/>
      <c r="M459" s="10"/>
      <c r="P459" s="10"/>
    </row>
    <row r="460" customFormat="false" ht="15" hidden="false" customHeight="false" outlineLevel="0" collapsed="false">
      <c r="A460" s="10"/>
      <c r="M460" s="10"/>
      <c r="P460" s="10"/>
    </row>
    <row r="461" customFormat="false" ht="15" hidden="false" customHeight="false" outlineLevel="0" collapsed="false">
      <c r="A461" s="10"/>
      <c r="M461" s="10"/>
      <c r="P461" s="10"/>
    </row>
    <row r="462" customFormat="false" ht="15" hidden="false" customHeight="false" outlineLevel="0" collapsed="false">
      <c r="A462" s="10"/>
      <c r="M462" s="10"/>
      <c r="P462" s="10"/>
    </row>
    <row r="463" customFormat="false" ht="15" hidden="false" customHeight="false" outlineLevel="0" collapsed="false">
      <c r="A463" s="10"/>
      <c r="M463" s="10"/>
      <c r="P463" s="10"/>
    </row>
    <row r="464" customFormat="false" ht="15" hidden="false" customHeight="false" outlineLevel="0" collapsed="false">
      <c r="A464" s="10"/>
      <c r="M464" s="10"/>
      <c r="P464" s="10"/>
    </row>
    <row r="465" customFormat="false" ht="15" hidden="false" customHeight="false" outlineLevel="0" collapsed="false">
      <c r="A465" s="10"/>
      <c r="M465" s="10"/>
      <c r="P465" s="10"/>
    </row>
    <row r="466" customFormat="false" ht="15" hidden="false" customHeight="false" outlineLevel="0" collapsed="false">
      <c r="A466" s="10"/>
      <c r="M466" s="10"/>
      <c r="P466" s="10"/>
    </row>
    <row r="467" customFormat="false" ht="15" hidden="false" customHeight="false" outlineLevel="0" collapsed="false">
      <c r="A467" s="10"/>
      <c r="M467" s="10"/>
      <c r="P467" s="10"/>
    </row>
    <row r="468" customFormat="false" ht="15" hidden="false" customHeight="false" outlineLevel="0" collapsed="false">
      <c r="A468" s="10"/>
      <c r="M468" s="10"/>
      <c r="P468" s="10"/>
    </row>
    <row r="469" customFormat="false" ht="15" hidden="false" customHeight="false" outlineLevel="0" collapsed="false">
      <c r="A469" s="10"/>
      <c r="M469" s="10"/>
      <c r="P469" s="10"/>
    </row>
    <row r="470" customFormat="false" ht="15" hidden="false" customHeight="false" outlineLevel="0" collapsed="false">
      <c r="A470" s="10"/>
      <c r="M470" s="10"/>
      <c r="P470" s="10"/>
    </row>
    <row r="471" customFormat="false" ht="15" hidden="false" customHeight="false" outlineLevel="0" collapsed="false">
      <c r="A471" s="10"/>
      <c r="M471" s="10"/>
      <c r="P471" s="10"/>
    </row>
    <row r="472" customFormat="false" ht="15" hidden="false" customHeight="false" outlineLevel="0" collapsed="false">
      <c r="A472" s="10"/>
      <c r="M472" s="10"/>
      <c r="P472" s="10"/>
    </row>
    <row r="473" customFormat="false" ht="15" hidden="false" customHeight="false" outlineLevel="0" collapsed="false">
      <c r="A473" s="10"/>
      <c r="M473" s="10"/>
      <c r="P473" s="10"/>
    </row>
    <row r="474" customFormat="false" ht="15" hidden="false" customHeight="false" outlineLevel="0" collapsed="false">
      <c r="A474" s="10"/>
      <c r="M474" s="10"/>
      <c r="P474" s="10"/>
    </row>
    <row r="475" customFormat="false" ht="15" hidden="false" customHeight="false" outlineLevel="0" collapsed="false">
      <c r="A475" s="10"/>
      <c r="M475" s="10"/>
      <c r="P475" s="10"/>
    </row>
    <row r="476" customFormat="false" ht="15" hidden="false" customHeight="false" outlineLevel="0" collapsed="false">
      <c r="A476" s="10"/>
      <c r="M476" s="10"/>
      <c r="P476" s="10"/>
    </row>
    <row r="477" customFormat="false" ht="15" hidden="false" customHeight="false" outlineLevel="0" collapsed="false">
      <c r="A477" s="10"/>
      <c r="M477" s="10"/>
      <c r="P477" s="10"/>
    </row>
    <row r="478" customFormat="false" ht="15" hidden="false" customHeight="false" outlineLevel="0" collapsed="false">
      <c r="A478" s="10"/>
      <c r="M478" s="10"/>
      <c r="P478" s="10"/>
    </row>
    <row r="479" customFormat="false" ht="15" hidden="false" customHeight="false" outlineLevel="0" collapsed="false">
      <c r="A479" s="10"/>
      <c r="M479" s="10"/>
      <c r="P479" s="10"/>
    </row>
    <row r="480" customFormat="false" ht="15" hidden="false" customHeight="false" outlineLevel="0" collapsed="false">
      <c r="A480" s="10"/>
      <c r="M480" s="10"/>
      <c r="P480" s="10"/>
    </row>
    <row r="481" customFormat="false" ht="15" hidden="false" customHeight="false" outlineLevel="0" collapsed="false">
      <c r="A481" s="10"/>
      <c r="M481" s="10"/>
      <c r="P481" s="10"/>
    </row>
    <row r="482" customFormat="false" ht="15" hidden="false" customHeight="false" outlineLevel="0" collapsed="false">
      <c r="A482" s="10"/>
      <c r="M482" s="10"/>
      <c r="P482" s="10"/>
    </row>
    <row r="483" customFormat="false" ht="15" hidden="false" customHeight="false" outlineLevel="0" collapsed="false">
      <c r="A483" s="10"/>
      <c r="M483" s="10"/>
      <c r="P483" s="10"/>
    </row>
    <row r="484" customFormat="false" ht="15" hidden="false" customHeight="false" outlineLevel="0" collapsed="false">
      <c r="A484" s="10"/>
      <c r="M484" s="10"/>
      <c r="P484" s="10"/>
    </row>
    <row r="485" customFormat="false" ht="15" hidden="false" customHeight="false" outlineLevel="0" collapsed="false">
      <c r="A485" s="10"/>
      <c r="M485" s="10"/>
      <c r="P485" s="10"/>
    </row>
    <row r="486" customFormat="false" ht="15" hidden="false" customHeight="false" outlineLevel="0" collapsed="false">
      <c r="A486" s="10"/>
      <c r="M486" s="10"/>
      <c r="P486" s="10"/>
    </row>
    <row r="487" customFormat="false" ht="15" hidden="false" customHeight="false" outlineLevel="0" collapsed="false">
      <c r="A487" s="10"/>
      <c r="M487" s="10"/>
      <c r="P487" s="10"/>
    </row>
    <row r="488" customFormat="false" ht="15" hidden="false" customHeight="false" outlineLevel="0" collapsed="false">
      <c r="A488" s="10"/>
      <c r="M488" s="10"/>
      <c r="P488" s="10"/>
    </row>
    <row r="489" customFormat="false" ht="15" hidden="false" customHeight="false" outlineLevel="0" collapsed="false">
      <c r="A489" s="10"/>
      <c r="M489" s="10"/>
      <c r="P489" s="10"/>
    </row>
    <row r="490" customFormat="false" ht="15" hidden="false" customHeight="false" outlineLevel="0" collapsed="false">
      <c r="A490" s="10"/>
      <c r="M490" s="10"/>
      <c r="P490" s="10"/>
    </row>
    <row r="491" customFormat="false" ht="15" hidden="false" customHeight="false" outlineLevel="0" collapsed="false">
      <c r="A491" s="10"/>
      <c r="M491" s="10"/>
      <c r="P491" s="10"/>
    </row>
    <row r="492" customFormat="false" ht="15" hidden="false" customHeight="false" outlineLevel="0" collapsed="false">
      <c r="A492" s="10"/>
      <c r="M492" s="10"/>
      <c r="P492" s="10"/>
    </row>
    <row r="493" customFormat="false" ht="15" hidden="false" customHeight="false" outlineLevel="0" collapsed="false">
      <c r="A493" s="10"/>
      <c r="M493" s="10"/>
      <c r="P493" s="10"/>
    </row>
    <row r="494" customFormat="false" ht="15" hidden="false" customHeight="false" outlineLevel="0" collapsed="false">
      <c r="A494" s="10"/>
      <c r="M494" s="10"/>
      <c r="P494" s="10"/>
    </row>
    <row r="495" customFormat="false" ht="15" hidden="false" customHeight="false" outlineLevel="0" collapsed="false">
      <c r="A495" s="10"/>
      <c r="M495" s="10"/>
      <c r="P495" s="10"/>
    </row>
    <row r="496" customFormat="false" ht="15" hidden="false" customHeight="false" outlineLevel="0" collapsed="false">
      <c r="A496" s="10"/>
      <c r="M496" s="10"/>
      <c r="P496" s="10"/>
    </row>
    <row r="497" customFormat="false" ht="15" hidden="false" customHeight="false" outlineLevel="0" collapsed="false">
      <c r="A497" s="10"/>
      <c r="M497" s="10"/>
      <c r="P497" s="10"/>
    </row>
    <row r="498" customFormat="false" ht="15" hidden="false" customHeight="false" outlineLevel="0" collapsed="false">
      <c r="A498" s="10"/>
      <c r="M498" s="10"/>
      <c r="P498" s="10"/>
    </row>
    <row r="499" customFormat="false" ht="15" hidden="false" customHeight="false" outlineLevel="0" collapsed="false">
      <c r="A499" s="10"/>
      <c r="M499" s="10"/>
      <c r="P499" s="10"/>
    </row>
    <row r="500" customFormat="false" ht="15" hidden="false" customHeight="false" outlineLevel="0" collapsed="false">
      <c r="A500" s="10"/>
      <c r="M500" s="10"/>
      <c r="P500" s="10"/>
    </row>
    <row r="501" customFormat="false" ht="15" hidden="false" customHeight="false" outlineLevel="0" collapsed="false">
      <c r="A501" s="10"/>
      <c r="M501" s="10"/>
      <c r="P501" s="10"/>
    </row>
    <row r="502" customFormat="false" ht="15" hidden="false" customHeight="false" outlineLevel="0" collapsed="false">
      <c r="A502" s="10"/>
      <c r="M502" s="10"/>
      <c r="P502" s="10"/>
    </row>
    <row r="503" customFormat="false" ht="15" hidden="false" customHeight="false" outlineLevel="0" collapsed="false">
      <c r="A503" s="10"/>
      <c r="M503" s="10"/>
      <c r="P503" s="10"/>
    </row>
    <row r="504" customFormat="false" ht="15" hidden="false" customHeight="false" outlineLevel="0" collapsed="false">
      <c r="A504" s="10"/>
      <c r="M504" s="10"/>
      <c r="P504" s="10"/>
    </row>
    <row r="505" customFormat="false" ht="15" hidden="false" customHeight="false" outlineLevel="0" collapsed="false">
      <c r="A505" s="10"/>
      <c r="M505" s="10"/>
      <c r="P505" s="10"/>
    </row>
    <row r="506" customFormat="false" ht="15" hidden="false" customHeight="false" outlineLevel="0" collapsed="false">
      <c r="A506" s="10"/>
      <c r="M506" s="10"/>
      <c r="P506" s="10"/>
    </row>
    <row r="507" customFormat="false" ht="15" hidden="false" customHeight="false" outlineLevel="0" collapsed="false">
      <c r="A507" s="10"/>
      <c r="M507" s="10"/>
      <c r="P507" s="10"/>
    </row>
    <row r="508" customFormat="false" ht="15" hidden="false" customHeight="false" outlineLevel="0" collapsed="false">
      <c r="A508" s="10"/>
      <c r="M508" s="10"/>
      <c r="P508" s="10"/>
    </row>
    <row r="509" customFormat="false" ht="15" hidden="false" customHeight="false" outlineLevel="0" collapsed="false">
      <c r="A509" s="10"/>
      <c r="M509" s="10"/>
      <c r="P509" s="10"/>
    </row>
    <row r="510" customFormat="false" ht="15" hidden="false" customHeight="false" outlineLevel="0" collapsed="false">
      <c r="A510" s="10"/>
      <c r="M510" s="10"/>
      <c r="P510" s="10"/>
    </row>
    <row r="511" customFormat="false" ht="15" hidden="false" customHeight="false" outlineLevel="0" collapsed="false">
      <c r="A511" s="10"/>
      <c r="M511" s="10"/>
      <c r="P511" s="10"/>
    </row>
    <row r="512" customFormat="false" ht="15" hidden="false" customHeight="false" outlineLevel="0" collapsed="false">
      <c r="A512" s="10"/>
      <c r="M512" s="10"/>
      <c r="P512" s="10"/>
    </row>
    <row r="513" customFormat="false" ht="15" hidden="false" customHeight="false" outlineLevel="0" collapsed="false">
      <c r="A513" s="10"/>
      <c r="M513" s="10"/>
      <c r="P513" s="10"/>
    </row>
    <row r="514" customFormat="false" ht="15" hidden="false" customHeight="false" outlineLevel="0" collapsed="false">
      <c r="A514" s="10"/>
      <c r="M514" s="10"/>
      <c r="P514" s="10"/>
    </row>
    <row r="515" customFormat="false" ht="15" hidden="false" customHeight="false" outlineLevel="0" collapsed="false">
      <c r="A515" s="10"/>
      <c r="M515" s="10"/>
      <c r="P515" s="10"/>
    </row>
    <row r="516" customFormat="false" ht="15" hidden="false" customHeight="false" outlineLevel="0" collapsed="false">
      <c r="A516" s="10"/>
      <c r="M516" s="10"/>
      <c r="P516" s="10"/>
    </row>
    <row r="517" customFormat="false" ht="15" hidden="false" customHeight="false" outlineLevel="0" collapsed="false">
      <c r="A517" s="10"/>
      <c r="M517" s="10"/>
      <c r="P517" s="10"/>
    </row>
    <row r="518" customFormat="false" ht="15" hidden="false" customHeight="false" outlineLevel="0" collapsed="false">
      <c r="A518" s="10"/>
      <c r="M518" s="10"/>
      <c r="P518" s="10"/>
    </row>
    <row r="519" customFormat="false" ht="15" hidden="false" customHeight="false" outlineLevel="0" collapsed="false">
      <c r="A519" s="10"/>
      <c r="M519" s="10"/>
      <c r="P519" s="10"/>
    </row>
    <row r="520" customFormat="false" ht="15" hidden="false" customHeight="false" outlineLevel="0" collapsed="false">
      <c r="A520" s="10"/>
      <c r="M520" s="10"/>
      <c r="P520" s="10"/>
    </row>
    <row r="521" customFormat="false" ht="15" hidden="false" customHeight="false" outlineLevel="0" collapsed="false">
      <c r="A521" s="10"/>
      <c r="M521" s="10"/>
      <c r="P521" s="10"/>
    </row>
    <row r="522" customFormat="false" ht="15" hidden="false" customHeight="false" outlineLevel="0" collapsed="false">
      <c r="A522" s="10"/>
      <c r="M522" s="10"/>
      <c r="P522" s="10"/>
    </row>
    <row r="523" customFormat="false" ht="15" hidden="false" customHeight="false" outlineLevel="0" collapsed="false">
      <c r="A523" s="10"/>
      <c r="M523" s="10"/>
      <c r="P523" s="10"/>
    </row>
    <row r="524" customFormat="false" ht="15" hidden="false" customHeight="false" outlineLevel="0" collapsed="false">
      <c r="A524" s="10"/>
      <c r="M524" s="10"/>
      <c r="P524" s="10"/>
    </row>
    <row r="525" customFormat="false" ht="15" hidden="false" customHeight="false" outlineLevel="0" collapsed="false">
      <c r="A525" s="10"/>
      <c r="M525" s="10"/>
      <c r="P525" s="10"/>
    </row>
    <row r="526" customFormat="false" ht="15" hidden="false" customHeight="false" outlineLevel="0" collapsed="false">
      <c r="A526" s="10"/>
      <c r="M526" s="10"/>
      <c r="P526" s="10"/>
    </row>
    <row r="527" customFormat="false" ht="15" hidden="false" customHeight="false" outlineLevel="0" collapsed="false">
      <c r="A527" s="10"/>
      <c r="M527" s="10"/>
      <c r="P527" s="10"/>
    </row>
    <row r="528" customFormat="false" ht="15" hidden="false" customHeight="false" outlineLevel="0" collapsed="false">
      <c r="A528" s="10"/>
      <c r="M528" s="10"/>
      <c r="P528" s="10"/>
    </row>
    <row r="529" customFormat="false" ht="15" hidden="false" customHeight="false" outlineLevel="0" collapsed="false">
      <c r="A529" s="10"/>
      <c r="M529" s="10"/>
      <c r="P529" s="10"/>
    </row>
    <row r="530" customFormat="false" ht="15" hidden="false" customHeight="false" outlineLevel="0" collapsed="false">
      <c r="A530" s="10"/>
      <c r="M530" s="10"/>
      <c r="P530" s="10"/>
    </row>
    <row r="531" customFormat="false" ht="15" hidden="false" customHeight="false" outlineLevel="0" collapsed="false">
      <c r="A531" s="10"/>
      <c r="M531" s="10"/>
      <c r="P531" s="10"/>
    </row>
    <row r="532" customFormat="false" ht="15" hidden="false" customHeight="false" outlineLevel="0" collapsed="false">
      <c r="A532" s="10"/>
      <c r="M532" s="10"/>
      <c r="P532" s="10"/>
    </row>
    <row r="533" customFormat="false" ht="15" hidden="false" customHeight="false" outlineLevel="0" collapsed="false">
      <c r="A533" s="10"/>
      <c r="M533" s="10"/>
      <c r="P533" s="10"/>
    </row>
    <row r="534" customFormat="false" ht="15" hidden="false" customHeight="false" outlineLevel="0" collapsed="false">
      <c r="A534" s="10"/>
      <c r="M534" s="10"/>
      <c r="P534" s="10"/>
    </row>
    <row r="535" customFormat="false" ht="15" hidden="false" customHeight="false" outlineLevel="0" collapsed="false">
      <c r="A535" s="10"/>
      <c r="M535" s="10"/>
      <c r="P535" s="10"/>
    </row>
    <row r="536" customFormat="false" ht="15" hidden="false" customHeight="false" outlineLevel="0" collapsed="false">
      <c r="A536" s="10"/>
      <c r="M536" s="10"/>
      <c r="P536" s="10"/>
    </row>
    <row r="537" customFormat="false" ht="15" hidden="false" customHeight="false" outlineLevel="0" collapsed="false">
      <c r="A537" s="10"/>
      <c r="M537" s="10"/>
      <c r="P537" s="10"/>
    </row>
    <row r="538" customFormat="false" ht="15" hidden="false" customHeight="false" outlineLevel="0" collapsed="false">
      <c r="A538" s="10"/>
      <c r="M538" s="10"/>
      <c r="P538" s="10"/>
    </row>
    <row r="539" customFormat="false" ht="15" hidden="false" customHeight="false" outlineLevel="0" collapsed="false">
      <c r="A539" s="10"/>
      <c r="M539" s="10"/>
      <c r="P539" s="10"/>
    </row>
    <row r="540" customFormat="false" ht="15" hidden="false" customHeight="false" outlineLevel="0" collapsed="false">
      <c r="A540" s="10"/>
      <c r="M540" s="10"/>
      <c r="P540" s="10"/>
    </row>
    <row r="541" customFormat="false" ht="15" hidden="false" customHeight="false" outlineLevel="0" collapsed="false">
      <c r="A541" s="10"/>
      <c r="M541" s="10"/>
      <c r="P541" s="10"/>
    </row>
    <row r="542" customFormat="false" ht="15" hidden="false" customHeight="false" outlineLevel="0" collapsed="false">
      <c r="A542" s="10"/>
      <c r="M542" s="10"/>
      <c r="P542" s="10"/>
    </row>
    <row r="543" customFormat="false" ht="15" hidden="false" customHeight="false" outlineLevel="0" collapsed="false">
      <c r="A543" s="10"/>
      <c r="M543" s="10"/>
      <c r="P543" s="10"/>
    </row>
    <row r="544" customFormat="false" ht="15" hidden="false" customHeight="false" outlineLevel="0" collapsed="false">
      <c r="A544" s="10"/>
      <c r="M544" s="10"/>
      <c r="P544" s="10"/>
    </row>
    <row r="545" customFormat="false" ht="15" hidden="false" customHeight="false" outlineLevel="0" collapsed="false">
      <c r="A545" s="10"/>
      <c r="M545" s="10"/>
      <c r="P545" s="10"/>
    </row>
    <row r="546" customFormat="false" ht="15" hidden="false" customHeight="false" outlineLevel="0" collapsed="false">
      <c r="A546" s="10"/>
      <c r="M546" s="10"/>
      <c r="P546" s="10"/>
    </row>
    <row r="547" customFormat="false" ht="15" hidden="false" customHeight="false" outlineLevel="0" collapsed="false">
      <c r="A547" s="10"/>
      <c r="M547" s="10"/>
      <c r="P547" s="10"/>
    </row>
    <row r="548" customFormat="false" ht="15" hidden="false" customHeight="false" outlineLevel="0" collapsed="false">
      <c r="A548" s="10"/>
      <c r="M548" s="10"/>
      <c r="P548" s="10"/>
    </row>
    <row r="549" customFormat="false" ht="15" hidden="false" customHeight="false" outlineLevel="0" collapsed="false">
      <c r="A549" s="10"/>
      <c r="M549" s="10"/>
      <c r="P549" s="10"/>
    </row>
    <row r="550" customFormat="false" ht="15" hidden="false" customHeight="false" outlineLevel="0" collapsed="false">
      <c r="A550" s="10"/>
      <c r="M550" s="10"/>
      <c r="P550" s="10"/>
    </row>
    <row r="551" customFormat="false" ht="15" hidden="false" customHeight="false" outlineLevel="0" collapsed="false">
      <c r="A551" s="10"/>
      <c r="M551" s="10"/>
      <c r="P551" s="10"/>
    </row>
    <row r="552" customFormat="false" ht="15" hidden="false" customHeight="false" outlineLevel="0" collapsed="false">
      <c r="A552" s="10"/>
      <c r="M552" s="10"/>
      <c r="P552" s="10"/>
    </row>
    <row r="553" customFormat="false" ht="15" hidden="false" customHeight="false" outlineLevel="0" collapsed="false">
      <c r="A553" s="10"/>
      <c r="M553" s="10"/>
      <c r="P553" s="10"/>
    </row>
    <row r="554" customFormat="false" ht="15" hidden="false" customHeight="false" outlineLevel="0" collapsed="false">
      <c r="A554" s="10"/>
      <c r="M554" s="10"/>
      <c r="P554" s="10"/>
    </row>
    <row r="555" customFormat="false" ht="15" hidden="false" customHeight="false" outlineLevel="0" collapsed="false">
      <c r="A555" s="10"/>
      <c r="M555" s="10"/>
      <c r="P555" s="10"/>
    </row>
    <row r="556" customFormat="false" ht="15" hidden="false" customHeight="false" outlineLevel="0" collapsed="false">
      <c r="A556" s="10"/>
      <c r="M556" s="10"/>
      <c r="P556" s="10"/>
    </row>
    <row r="557" customFormat="false" ht="15" hidden="false" customHeight="false" outlineLevel="0" collapsed="false">
      <c r="A557" s="10"/>
      <c r="M557" s="10"/>
      <c r="P557" s="10"/>
    </row>
    <row r="558" customFormat="false" ht="15" hidden="false" customHeight="false" outlineLevel="0" collapsed="false">
      <c r="A558" s="10"/>
      <c r="M558" s="10"/>
      <c r="P558" s="10"/>
    </row>
    <row r="559" customFormat="false" ht="15" hidden="false" customHeight="false" outlineLevel="0" collapsed="false">
      <c r="A559" s="10"/>
      <c r="M559" s="10"/>
      <c r="P559" s="10"/>
    </row>
    <row r="560" customFormat="false" ht="15" hidden="false" customHeight="false" outlineLevel="0" collapsed="false">
      <c r="A560" s="10"/>
      <c r="M560" s="10"/>
      <c r="P560" s="10"/>
    </row>
    <row r="561" customFormat="false" ht="15" hidden="false" customHeight="false" outlineLevel="0" collapsed="false">
      <c r="A561" s="10"/>
      <c r="M561" s="10"/>
      <c r="P561" s="10"/>
    </row>
    <row r="562" customFormat="false" ht="15" hidden="false" customHeight="false" outlineLevel="0" collapsed="false">
      <c r="A562" s="10"/>
      <c r="M562" s="10"/>
      <c r="P562" s="10"/>
    </row>
    <row r="563" customFormat="false" ht="15" hidden="false" customHeight="false" outlineLevel="0" collapsed="false">
      <c r="A563" s="10"/>
      <c r="M563" s="10"/>
      <c r="P563" s="10"/>
    </row>
    <row r="564" customFormat="false" ht="15" hidden="false" customHeight="false" outlineLevel="0" collapsed="false">
      <c r="A564" s="10"/>
      <c r="M564" s="10"/>
      <c r="P564" s="10"/>
    </row>
    <row r="565" customFormat="false" ht="15" hidden="false" customHeight="false" outlineLevel="0" collapsed="false">
      <c r="A565" s="10"/>
      <c r="M565" s="10"/>
      <c r="P565" s="10"/>
    </row>
    <row r="566" customFormat="false" ht="15" hidden="false" customHeight="false" outlineLevel="0" collapsed="false">
      <c r="A566" s="10"/>
      <c r="M566" s="10"/>
      <c r="P566" s="10"/>
    </row>
    <row r="567" customFormat="false" ht="15" hidden="false" customHeight="false" outlineLevel="0" collapsed="false">
      <c r="A567" s="10"/>
      <c r="M567" s="10"/>
      <c r="P567" s="10"/>
    </row>
    <row r="568" customFormat="false" ht="15" hidden="false" customHeight="false" outlineLevel="0" collapsed="false">
      <c r="A568" s="10"/>
      <c r="M568" s="10"/>
      <c r="P568" s="10"/>
    </row>
    <row r="569" customFormat="false" ht="15" hidden="false" customHeight="false" outlineLevel="0" collapsed="false">
      <c r="A569" s="10"/>
      <c r="M569" s="10"/>
      <c r="P569" s="10"/>
    </row>
    <row r="570" customFormat="false" ht="15" hidden="false" customHeight="false" outlineLevel="0" collapsed="false">
      <c r="A570" s="10"/>
      <c r="M570" s="10"/>
      <c r="P570" s="10"/>
    </row>
    <row r="571" customFormat="false" ht="15" hidden="false" customHeight="false" outlineLevel="0" collapsed="false">
      <c r="A571" s="10"/>
      <c r="M571" s="10"/>
      <c r="P571" s="10"/>
    </row>
    <row r="572" customFormat="false" ht="15" hidden="false" customHeight="false" outlineLevel="0" collapsed="false">
      <c r="A572" s="10"/>
      <c r="M572" s="10"/>
      <c r="P572" s="10"/>
    </row>
    <row r="573" customFormat="false" ht="15" hidden="false" customHeight="false" outlineLevel="0" collapsed="false">
      <c r="A573" s="10"/>
      <c r="M573" s="10"/>
      <c r="P573" s="10"/>
    </row>
    <row r="574" customFormat="false" ht="15" hidden="false" customHeight="false" outlineLevel="0" collapsed="false">
      <c r="A574" s="10"/>
      <c r="M574" s="10"/>
      <c r="P574" s="10"/>
    </row>
    <row r="575" customFormat="false" ht="15" hidden="false" customHeight="false" outlineLevel="0" collapsed="false">
      <c r="A575" s="10"/>
      <c r="M575" s="10"/>
      <c r="P575" s="10"/>
    </row>
    <row r="576" customFormat="false" ht="15" hidden="false" customHeight="false" outlineLevel="0" collapsed="false">
      <c r="A576" s="10"/>
      <c r="M576" s="10"/>
      <c r="P576" s="10"/>
    </row>
    <row r="577" customFormat="false" ht="15" hidden="false" customHeight="false" outlineLevel="0" collapsed="false">
      <c r="A577" s="10"/>
      <c r="M577" s="10"/>
      <c r="P577" s="10"/>
    </row>
    <row r="578" customFormat="false" ht="15" hidden="false" customHeight="false" outlineLevel="0" collapsed="false">
      <c r="A578" s="10"/>
      <c r="M578" s="10"/>
      <c r="P578" s="10"/>
    </row>
    <row r="579" customFormat="false" ht="15" hidden="false" customHeight="false" outlineLevel="0" collapsed="false">
      <c r="A579" s="10"/>
      <c r="M579" s="10"/>
      <c r="P579" s="10"/>
    </row>
    <row r="580" customFormat="false" ht="15" hidden="false" customHeight="false" outlineLevel="0" collapsed="false">
      <c r="A580" s="10"/>
      <c r="M580" s="10"/>
      <c r="P580" s="10"/>
    </row>
    <row r="581" customFormat="false" ht="15" hidden="false" customHeight="false" outlineLevel="0" collapsed="false">
      <c r="A581" s="10"/>
      <c r="M581" s="10"/>
      <c r="P581" s="10"/>
    </row>
    <row r="582" customFormat="false" ht="15" hidden="false" customHeight="false" outlineLevel="0" collapsed="false">
      <c r="A582" s="10"/>
      <c r="M582" s="10"/>
      <c r="P582" s="10"/>
    </row>
    <row r="583" customFormat="false" ht="15" hidden="false" customHeight="false" outlineLevel="0" collapsed="false">
      <c r="A583" s="10"/>
      <c r="M583" s="10"/>
      <c r="P583" s="10"/>
    </row>
    <row r="584" customFormat="false" ht="15" hidden="false" customHeight="false" outlineLevel="0" collapsed="false">
      <c r="A584" s="10"/>
      <c r="M584" s="10"/>
      <c r="P584" s="10"/>
    </row>
    <row r="585" customFormat="false" ht="15" hidden="false" customHeight="false" outlineLevel="0" collapsed="false">
      <c r="A585" s="10"/>
      <c r="M585" s="10"/>
      <c r="P585" s="10"/>
    </row>
    <row r="586" customFormat="false" ht="15" hidden="false" customHeight="false" outlineLevel="0" collapsed="false">
      <c r="A586" s="10"/>
      <c r="M586" s="10"/>
      <c r="P586" s="10"/>
    </row>
    <row r="587" customFormat="false" ht="15" hidden="false" customHeight="false" outlineLevel="0" collapsed="false">
      <c r="A587" s="10"/>
      <c r="M587" s="10"/>
      <c r="P587" s="10"/>
    </row>
    <row r="588" customFormat="false" ht="15" hidden="false" customHeight="false" outlineLevel="0" collapsed="false">
      <c r="A588" s="10"/>
      <c r="M588" s="10"/>
      <c r="P588" s="10"/>
    </row>
    <row r="589" customFormat="false" ht="15" hidden="false" customHeight="false" outlineLevel="0" collapsed="false">
      <c r="A589" s="10"/>
      <c r="M589" s="10"/>
      <c r="P589" s="10"/>
    </row>
    <row r="590" customFormat="false" ht="15" hidden="false" customHeight="false" outlineLevel="0" collapsed="false">
      <c r="A590" s="10"/>
      <c r="M590" s="10"/>
      <c r="P590" s="10"/>
    </row>
    <row r="591" customFormat="false" ht="15" hidden="false" customHeight="false" outlineLevel="0" collapsed="false">
      <c r="A591" s="10"/>
      <c r="M591" s="10"/>
      <c r="P591" s="10"/>
    </row>
    <row r="592" customFormat="false" ht="15" hidden="false" customHeight="false" outlineLevel="0" collapsed="false">
      <c r="A592" s="10"/>
      <c r="M592" s="10"/>
      <c r="P592" s="10"/>
    </row>
    <row r="593" customFormat="false" ht="15" hidden="false" customHeight="false" outlineLevel="0" collapsed="false">
      <c r="A593" s="10"/>
      <c r="M593" s="10"/>
      <c r="P593" s="10"/>
    </row>
    <row r="594" customFormat="false" ht="15" hidden="false" customHeight="false" outlineLevel="0" collapsed="false">
      <c r="A594" s="10"/>
      <c r="M594" s="10"/>
      <c r="P594" s="10"/>
    </row>
    <row r="595" customFormat="false" ht="15" hidden="false" customHeight="false" outlineLevel="0" collapsed="false">
      <c r="A595" s="10"/>
      <c r="M595" s="10"/>
      <c r="P595" s="10"/>
    </row>
    <row r="596" customFormat="false" ht="15" hidden="false" customHeight="false" outlineLevel="0" collapsed="false">
      <c r="A596" s="10"/>
      <c r="M596" s="10"/>
      <c r="P596" s="10"/>
    </row>
    <row r="597" customFormat="false" ht="15" hidden="false" customHeight="false" outlineLevel="0" collapsed="false">
      <c r="A597" s="10"/>
      <c r="M597" s="10"/>
      <c r="P597" s="10"/>
    </row>
    <row r="598" customFormat="false" ht="15" hidden="false" customHeight="false" outlineLevel="0" collapsed="false">
      <c r="A598" s="10"/>
      <c r="M598" s="10"/>
      <c r="P598" s="10"/>
    </row>
    <row r="599" customFormat="false" ht="15" hidden="false" customHeight="false" outlineLevel="0" collapsed="false">
      <c r="A599" s="10"/>
      <c r="M599" s="10"/>
      <c r="P599" s="10"/>
    </row>
    <row r="600" customFormat="false" ht="15" hidden="false" customHeight="false" outlineLevel="0" collapsed="false">
      <c r="A600" s="10"/>
      <c r="M600" s="10"/>
      <c r="P600" s="10"/>
    </row>
    <row r="601" customFormat="false" ht="15" hidden="false" customHeight="false" outlineLevel="0" collapsed="false">
      <c r="A601" s="10"/>
      <c r="M601" s="10"/>
      <c r="P601" s="10"/>
    </row>
    <row r="602" customFormat="false" ht="15" hidden="false" customHeight="false" outlineLevel="0" collapsed="false">
      <c r="A602" s="10"/>
      <c r="M602" s="10"/>
      <c r="P602" s="10"/>
    </row>
    <row r="603" customFormat="false" ht="15" hidden="false" customHeight="false" outlineLevel="0" collapsed="false">
      <c r="A603" s="10"/>
      <c r="M603" s="10"/>
      <c r="P603" s="10"/>
    </row>
    <row r="604" customFormat="false" ht="15" hidden="false" customHeight="false" outlineLevel="0" collapsed="false">
      <c r="A604" s="10"/>
      <c r="M604" s="10"/>
      <c r="P604" s="10"/>
    </row>
    <row r="605" customFormat="false" ht="15" hidden="false" customHeight="false" outlineLevel="0" collapsed="false">
      <c r="A605" s="10"/>
      <c r="M605" s="10"/>
      <c r="P605" s="10"/>
    </row>
    <row r="606" customFormat="false" ht="15" hidden="false" customHeight="false" outlineLevel="0" collapsed="false">
      <c r="A606" s="10"/>
      <c r="M606" s="10"/>
      <c r="P606" s="10"/>
    </row>
    <row r="607" customFormat="false" ht="15" hidden="false" customHeight="false" outlineLevel="0" collapsed="false">
      <c r="A607" s="10"/>
      <c r="M607" s="10"/>
      <c r="P607" s="10"/>
    </row>
    <row r="608" customFormat="false" ht="15" hidden="false" customHeight="false" outlineLevel="0" collapsed="false">
      <c r="A608" s="10"/>
      <c r="M608" s="10"/>
      <c r="P608" s="10"/>
    </row>
    <row r="609" customFormat="false" ht="15" hidden="false" customHeight="false" outlineLevel="0" collapsed="false">
      <c r="A609" s="10"/>
      <c r="M609" s="10"/>
      <c r="P609" s="10"/>
    </row>
    <row r="610" customFormat="false" ht="15" hidden="false" customHeight="false" outlineLevel="0" collapsed="false">
      <c r="A610" s="10"/>
      <c r="M610" s="10"/>
      <c r="P610" s="10"/>
    </row>
    <row r="611" customFormat="false" ht="15" hidden="false" customHeight="false" outlineLevel="0" collapsed="false">
      <c r="A611" s="10"/>
      <c r="M611" s="10"/>
      <c r="P611" s="10"/>
    </row>
    <row r="612" customFormat="false" ht="15" hidden="false" customHeight="false" outlineLevel="0" collapsed="false">
      <c r="A612" s="10"/>
      <c r="M612" s="10"/>
      <c r="P612" s="10"/>
    </row>
    <row r="613" customFormat="false" ht="15" hidden="false" customHeight="false" outlineLevel="0" collapsed="false">
      <c r="A613" s="10"/>
      <c r="M613" s="10"/>
      <c r="P613" s="10"/>
    </row>
    <row r="614" customFormat="false" ht="15" hidden="false" customHeight="false" outlineLevel="0" collapsed="false">
      <c r="A614" s="10"/>
      <c r="M614" s="10"/>
      <c r="P614" s="10"/>
    </row>
    <row r="615" customFormat="false" ht="15" hidden="false" customHeight="false" outlineLevel="0" collapsed="false">
      <c r="A615" s="10"/>
      <c r="M615" s="10"/>
      <c r="P615" s="10"/>
    </row>
    <row r="616" customFormat="false" ht="15" hidden="false" customHeight="false" outlineLevel="0" collapsed="false">
      <c r="A616" s="10"/>
      <c r="M616" s="10"/>
      <c r="P616" s="10"/>
    </row>
    <row r="617" customFormat="false" ht="15" hidden="false" customHeight="false" outlineLevel="0" collapsed="false">
      <c r="A617" s="10"/>
      <c r="M617" s="10"/>
      <c r="P617" s="10"/>
    </row>
    <row r="618" customFormat="false" ht="15" hidden="false" customHeight="false" outlineLevel="0" collapsed="false">
      <c r="A618" s="10"/>
      <c r="M618" s="10"/>
      <c r="P618" s="10"/>
    </row>
    <row r="619" customFormat="false" ht="15" hidden="false" customHeight="false" outlineLevel="0" collapsed="false">
      <c r="A619" s="10"/>
      <c r="M619" s="10"/>
      <c r="P619" s="10"/>
    </row>
    <row r="620" customFormat="false" ht="15" hidden="false" customHeight="false" outlineLevel="0" collapsed="false">
      <c r="A620" s="10"/>
      <c r="M620" s="10"/>
      <c r="P620" s="10"/>
    </row>
    <row r="621" customFormat="false" ht="15" hidden="false" customHeight="false" outlineLevel="0" collapsed="false">
      <c r="A621" s="10"/>
      <c r="M621" s="10"/>
      <c r="P621" s="10"/>
    </row>
    <row r="622" customFormat="false" ht="15" hidden="false" customHeight="false" outlineLevel="0" collapsed="false">
      <c r="A622" s="10"/>
      <c r="M622" s="10"/>
      <c r="P622" s="10"/>
    </row>
    <row r="623" customFormat="false" ht="15" hidden="false" customHeight="false" outlineLevel="0" collapsed="false">
      <c r="A623" s="10"/>
      <c r="M623" s="10"/>
      <c r="P623" s="10"/>
    </row>
    <row r="624" customFormat="false" ht="15" hidden="false" customHeight="false" outlineLevel="0" collapsed="false">
      <c r="A624" s="10"/>
      <c r="M624" s="10"/>
      <c r="P624" s="10"/>
    </row>
    <row r="625" customFormat="false" ht="15" hidden="false" customHeight="false" outlineLevel="0" collapsed="false">
      <c r="A625" s="10"/>
      <c r="M625" s="10"/>
      <c r="P625" s="10"/>
    </row>
    <row r="626" customFormat="false" ht="15" hidden="false" customHeight="false" outlineLevel="0" collapsed="false">
      <c r="A626" s="10"/>
      <c r="M626" s="10"/>
      <c r="P626" s="10"/>
    </row>
    <row r="627" customFormat="false" ht="15" hidden="false" customHeight="false" outlineLevel="0" collapsed="false">
      <c r="A627" s="10"/>
      <c r="M627" s="10"/>
      <c r="P627" s="10"/>
    </row>
    <row r="628" customFormat="false" ht="15" hidden="false" customHeight="false" outlineLevel="0" collapsed="false">
      <c r="A628" s="10"/>
      <c r="M628" s="10"/>
      <c r="P628" s="10"/>
    </row>
    <row r="629" customFormat="false" ht="15" hidden="false" customHeight="false" outlineLevel="0" collapsed="false">
      <c r="A629" s="10"/>
      <c r="M629" s="10"/>
      <c r="P629" s="10"/>
    </row>
    <row r="630" customFormat="false" ht="15" hidden="false" customHeight="false" outlineLevel="0" collapsed="false">
      <c r="A630" s="10"/>
      <c r="M630" s="10"/>
      <c r="P630" s="10"/>
    </row>
    <row r="631" customFormat="false" ht="15" hidden="false" customHeight="false" outlineLevel="0" collapsed="false">
      <c r="A631" s="10"/>
      <c r="M631" s="10"/>
      <c r="P631" s="10"/>
    </row>
    <row r="632" customFormat="false" ht="15" hidden="false" customHeight="false" outlineLevel="0" collapsed="false">
      <c r="A632" s="10"/>
      <c r="M632" s="10"/>
      <c r="P632" s="10"/>
    </row>
    <row r="633" customFormat="false" ht="15" hidden="false" customHeight="false" outlineLevel="0" collapsed="false">
      <c r="A633" s="10"/>
      <c r="M633" s="10"/>
      <c r="P633" s="10"/>
    </row>
    <row r="634" customFormat="false" ht="15" hidden="false" customHeight="false" outlineLevel="0" collapsed="false">
      <c r="A634" s="10"/>
      <c r="M634" s="10"/>
      <c r="P634" s="10"/>
    </row>
    <row r="635" customFormat="false" ht="15" hidden="false" customHeight="false" outlineLevel="0" collapsed="false">
      <c r="A635" s="10"/>
      <c r="M635" s="10"/>
      <c r="P635" s="10"/>
    </row>
    <row r="636" customFormat="false" ht="15" hidden="false" customHeight="false" outlineLevel="0" collapsed="false">
      <c r="A636" s="10"/>
      <c r="M636" s="10"/>
      <c r="P636" s="10"/>
    </row>
    <row r="637" customFormat="false" ht="15" hidden="false" customHeight="false" outlineLevel="0" collapsed="false">
      <c r="A637" s="10"/>
      <c r="M637" s="10"/>
      <c r="P637" s="10"/>
    </row>
    <row r="638" customFormat="false" ht="15" hidden="false" customHeight="false" outlineLevel="0" collapsed="false">
      <c r="A638" s="10"/>
      <c r="M638" s="10"/>
      <c r="P638" s="10"/>
    </row>
    <row r="639" customFormat="false" ht="15" hidden="false" customHeight="false" outlineLevel="0" collapsed="false">
      <c r="A639" s="10"/>
      <c r="M639" s="10"/>
      <c r="P639" s="10"/>
    </row>
    <row r="640" customFormat="false" ht="15" hidden="false" customHeight="false" outlineLevel="0" collapsed="false">
      <c r="A640" s="10"/>
      <c r="M640" s="10"/>
      <c r="P640" s="10"/>
    </row>
    <row r="641" customFormat="false" ht="15" hidden="false" customHeight="false" outlineLevel="0" collapsed="false">
      <c r="A641" s="10"/>
      <c r="M641" s="10"/>
      <c r="P641" s="10"/>
    </row>
    <row r="642" customFormat="false" ht="15" hidden="false" customHeight="false" outlineLevel="0" collapsed="false">
      <c r="A642" s="10"/>
      <c r="M642" s="10"/>
      <c r="P642" s="10"/>
    </row>
    <row r="643" customFormat="false" ht="15" hidden="false" customHeight="false" outlineLevel="0" collapsed="false">
      <c r="A643" s="10"/>
      <c r="M643" s="10"/>
      <c r="P643" s="10"/>
    </row>
    <row r="644" customFormat="false" ht="15" hidden="false" customHeight="false" outlineLevel="0" collapsed="false">
      <c r="A644" s="10"/>
      <c r="M644" s="10"/>
      <c r="P644" s="10"/>
    </row>
    <row r="645" customFormat="false" ht="15" hidden="false" customHeight="false" outlineLevel="0" collapsed="false">
      <c r="A645" s="10"/>
      <c r="M645" s="10"/>
      <c r="P645" s="10"/>
    </row>
    <row r="646" customFormat="false" ht="15" hidden="false" customHeight="false" outlineLevel="0" collapsed="false">
      <c r="A646" s="10"/>
      <c r="M646" s="10"/>
      <c r="P646" s="10"/>
    </row>
    <row r="647" customFormat="false" ht="15" hidden="false" customHeight="false" outlineLevel="0" collapsed="false">
      <c r="A647" s="10"/>
      <c r="M647" s="10"/>
      <c r="P647" s="10"/>
    </row>
    <row r="648" customFormat="false" ht="15" hidden="false" customHeight="false" outlineLevel="0" collapsed="false">
      <c r="A648" s="10"/>
      <c r="M648" s="10"/>
      <c r="P648" s="10"/>
    </row>
    <row r="649" customFormat="false" ht="15" hidden="false" customHeight="false" outlineLevel="0" collapsed="false">
      <c r="A649" s="10"/>
      <c r="M649" s="10"/>
      <c r="P649" s="10"/>
    </row>
    <row r="650" customFormat="false" ht="15" hidden="false" customHeight="false" outlineLevel="0" collapsed="false">
      <c r="A650" s="10"/>
      <c r="M650" s="10"/>
      <c r="P650" s="10"/>
    </row>
    <row r="651" customFormat="false" ht="15" hidden="false" customHeight="false" outlineLevel="0" collapsed="false">
      <c r="A651" s="10"/>
      <c r="M651" s="10"/>
      <c r="P651" s="10"/>
    </row>
    <row r="652" customFormat="false" ht="15" hidden="false" customHeight="false" outlineLevel="0" collapsed="false">
      <c r="A652" s="10"/>
      <c r="M652" s="10"/>
      <c r="P652" s="10"/>
    </row>
    <row r="653" customFormat="false" ht="15" hidden="false" customHeight="false" outlineLevel="0" collapsed="false">
      <c r="A653" s="10"/>
      <c r="M653" s="10"/>
      <c r="P653" s="10"/>
    </row>
    <row r="654" customFormat="false" ht="15" hidden="false" customHeight="false" outlineLevel="0" collapsed="false">
      <c r="A654" s="10"/>
      <c r="M654" s="10"/>
      <c r="P654" s="10"/>
    </row>
    <row r="655" customFormat="false" ht="15" hidden="false" customHeight="false" outlineLevel="0" collapsed="false">
      <c r="A655" s="10"/>
      <c r="M655" s="10"/>
      <c r="P655" s="10"/>
    </row>
    <row r="656" customFormat="false" ht="15" hidden="false" customHeight="false" outlineLevel="0" collapsed="false">
      <c r="A656" s="10"/>
      <c r="M656" s="10"/>
      <c r="P656" s="10"/>
    </row>
    <row r="657" customFormat="false" ht="15" hidden="false" customHeight="false" outlineLevel="0" collapsed="false">
      <c r="A657" s="10"/>
      <c r="M657" s="10"/>
      <c r="P657" s="10"/>
    </row>
    <row r="658" customFormat="false" ht="15" hidden="false" customHeight="false" outlineLevel="0" collapsed="false">
      <c r="A658" s="10"/>
      <c r="M658" s="10"/>
      <c r="P658" s="10"/>
    </row>
    <row r="659" customFormat="false" ht="15" hidden="false" customHeight="false" outlineLevel="0" collapsed="false">
      <c r="A659" s="10"/>
      <c r="M659" s="10"/>
      <c r="P659" s="10"/>
    </row>
    <row r="660" customFormat="false" ht="15" hidden="false" customHeight="false" outlineLevel="0" collapsed="false">
      <c r="A660" s="10"/>
      <c r="M660" s="10"/>
      <c r="P660" s="10"/>
    </row>
    <row r="661" customFormat="false" ht="15" hidden="false" customHeight="false" outlineLevel="0" collapsed="false">
      <c r="A661" s="10"/>
      <c r="M661" s="10"/>
      <c r="P661" s="10"/>
    </row>
    <row r="662" customFormat="false" ht="15" hidden="false" customHeight="false" outlineLevel="0" collapsed="false">
      <c r="A662" s="10"/>
      <c r="M662" s="10"/>
      <c r="P662" s="10"/>
    </row>
    <row r="663" customFormat="false" ht="15" hidden="false" customHeight="false" outlineLevel="0" collapsed="false">
      <c r="A663" s="10"/>
      <c r="M663" s="10"/>
      <c r="P663" s="10"/>
    </row>
    <row r="664" customFormat="false" ht="15" hidden="false" customHeight="false" outlineLevel="0" collapsed="false">
      <c r="A664" s="10"/>
      <c r="M664" s="10"/>
      <c r="P664" s="10"/>
    </row>
    <row r="665" customFormat="false" ht="15" hidden="false" customHeight="false" outlineLevel="0" collapsed="false">
      <c r="A665" s="10"/>
      <c r="M665" s="10"/>
      <c r="P665" s="10"/>
    </row>
    <row r="666" customFormat="false" ht="15" hidden="false" customHeight="false" outlineLevel="0" collapsed="false">
      <c r="A666" s="10"/>
      <c r="M666" s="10"/>
      <c r="P666" s="10"/>
    </row>
    <row r="667" customFormat="false" ht="15" hidden="false" customHeight="false" outlineLevel="0" collapsed="false">
      <c r="A667" s="10"/>
      <c r="M667" s="10"/>
      <c r="P667" s="10"/>
    </row>
    <row r="668" customFormat="false" ht="15" hidden="false" customHeight="false" outlineLevel="0" collapsed="false">
      <c r="A668" s="10"/>
      <c r="M668" s="10"/>
      <c r="P668" s="10"/>
    </row>
    <row r="669" customFormat="false" ht="15" hidden="false" customHeight="false" outlineLevel="0" collapsed="false">
      <c r="A669" s="10"/>
      <c r="M669" s="10"/>
      <c r="P669" s="10"/>
    </row>
    <row r="670" customFormat="false" ht="15" hidden="false" customHeight="false" outlineLevel="0" collapsed="false">
      <c r="A670" s="10"/>
      <c r="M670" s="10"/>
      <c r="P670" s="10"/>
    </row>
    <row r="671" customFormat="false" ht="15" hidden="false" customHeight="false" outlineLevel="0" collapsed="false">
      <c r="A671" s="10"/>
      <c r="M671" s="10"/>
      <c r="P671" s="10"/>
    </row>
    <row r="672" customFormat="false" ht="15" hidden="false" customHeight="false" outlineLevel="0" collapsed="false">
      <c r="A672" s="10"/>
      <c r="M672" s="10"/>
      <c r="P672" s="10"/>
    </row>
    <row r="673" customFormat="false" ht="15" hidden="false" customHeight="false" outlineLevel="0" collapsed="false">
      <c r="A673" s="10"/>
      <c r="M673" s="10"/>
      <c r="P673" s="10"/>
    </row>
    <row r="674" customFormat="false" ht="15" hidden="false" customHeight="false" outlineLevel="0" collapsed="false">
      <c r="A674" s="10"/>
      <c r="M674" s="10"/>
      <c r="P674" s="10"/>
    </row>
    <row r="675" customFormat="false" ht="15" hidden="false" customHeight="false" outlineLevel="0" collapsed="false">
      <c r="A675" s="10"/>
      <c r="M675" s="10"/>
      <c r="P675" s="10"/>
    </row>
    <row r="676" customFormat="false" ht="15" hidden="false" customHeight="false" outlineLevel="0" collapsed="false">
      <c r="A676" s="10"/>
      <c r="M676" s="10"/>
      <c r="P676" s="10"/>
    </row>
    <row r="677" customFormat="false" ht="15" hidden="false" customHeight="false" outlineLevel="0" collapsed="false">
      <c r="A677" s="10"/>
      <c r="M677" s="10"/>
      <c r="P677" s="10"/>
    </row>
    <row r="678" customFormat="false" ht="15" hidden="false" customHeight="false" outlineLevel="0" collapsed="false">
      <c r="A678" s="10"/>
      <c r="M678" s="10"/>
      <c r="P678" s="10"/>
    </row>
    <row r="679" customFormat="false" ht="15" hidden="false" customHeight="false" outlineLevel="0" collapsed="false">
      <c r="A679" s="10"/>
      <c r="M679" s="10"/>
      <c r="P679" s="10"/>
    </row>
    <row r="680" customFormat="false" ht="15" hidden="false" customHeight="false" outlineLevel="0" collapsed="false">
      <c r="A680" s="10"/>
      <c r="M680" s="10"/>
      <c r="P680" s="10"/>
    </row>
    <row r="681" customFormat="false" ht="15" hidden="false" customHeight="false" outlineLevel="0" collapsed="false">
      <c r="A681" s="10"/>
      <c r="M681" s="10"/>
      <c r="P681" s="10"/>
    </row>
    <row r="682" customFormat="false" ht="15" hidden="false" customHeight="false" outlineLevel="0" collapsed="false">
      <c r="A682" s="10"/>
      <c r="M682" s="10"/>
      <c r="P682" s="10"/>
    </row>
    <row r="683" customFormat="false" ht="15" hidden="false" customHeight="false" outlineLevel="0" collapsed="false">
      <c r="A683" s="10"/>
      <c r="M683" s="10"/>
      <c r="P683" s="10"/>
    </row>
    <row r="684" customFormat="false" ht="15" hidden="false" customHeight="false" outlineLevel="0" collapsed="false">
      <c r="A684" s="10"/>
      <c r="M684" s="10"/>
      <c r="P684" s="10"/>
    </row>
    <row r="685" customFormat="false" ht="15" hidden="false" customHeight="false" outlineLevel="0" collapsed="false">
      <c r="A685" s="10"/>
      <c r="M685" s="10"/>
      <c r="P685" s="10"/>
    </row>
    <row r="686" customFormat="false" ht="15" hidden="false" customHeight="false" outlineLevel="0" collapsed="false">
      <c r="A686" s="10"/>
      <c r="M686" s="10"/>
      <c r="P686" s="10"/>
    </row>
    <row r="687" customFormat="false" ht="15" hidden="false" customHeight="false" outlineLevel="0" collapsed="false">
      <c r="A687" s="10"/>
      <c r="M687" s="10"/>
      <c r="P687" s="10"/>
    </row>
    <row r="688" customFormat="false" ht="15" hidden="false" customHeight="false" outlineLevel="0" collapsed="false">
      <c r="A688" s="10"/>
      <c r="M688" s="10"/>
      <c r="P688" s="10"/>
    </row>
    <row r="689" customFormat="false" ht="15" hidden="false" customHeight="false" outlineLevel="0" collapsed="false">
      <c r="A689" s="10"/>
      <c r="M689" s="10"/>
      <c r="P689" s="10"/>
    </row>
    <row r="690" customFormat="false" ht="15" hidden="false" customHeight="false" outlineLevel="0" collapsed="false">
      <c r="A690" s="10"/>
      <c r="M690" s="10"/>
      <c r="P690" s="10"/>
    </row>
    <row r="691" customFormat="false" ht="15" hidden="false" customHeight="false" outlineLevel="0" collapsed="false">
      <c r="A691" s="10"/>
      <c r="M691" s="10"/>
      <c r="P691" s="10"/>
    </row>
    <row r="692" customFormat="false" ht="15" hidden="false" customHeight="false" outlineLevel="0" collapsed="false">
      <c r="A692" s="10"/>
      <c r="M692" s="10"/>
      <c r="P692" s="10"/>
    </row>
    <row r="693" customFormat="false" ht="15" hidden="false" customHeight="false" outlineLevel="0" collapsed="false">
      <c r="A693" s="10"/>
      <c r="M693" s="10"/>
      <c r="P693" s="10"/>
    </row>
    <row r="694" customFormat="false" ht="15" hidden="false" customHeight="false" outlineLevel="0" collapsed="false">
      <c r="A694" s="10"/>
      <c r="M694" s="10"/>
      <c r="P694" s="10"/>
    </row>
    <row r="695" customFormat="false" ht="15" hidden="false" customHeight="false" outlineLevel="0" collapsed="false">
      <c r="A695" s="10"/>
      <c r="M695" s="10"/>
      <c r="P695" s="10"/>
    </row>
    <row r="696" customFormat="false" ht="15" hidden="false" customHeight="false" outlineLevel="0" collapsed="false">
      <c r="A696" s="10"/>
      <c r="M696" s="10"/>
      <c r="P696" s="10"/>
    </row>
    <row r="697" customFormat="false" ht="15" hidden="false" customHeight="false" outlineLevel="0" collapsed="false">
      <c r="A697" s="10"/>
      <c r="M697" s="10"/>
      <c r="P697" s="10"/>
    </row>
    <row r="698" customFormat="false" ht="15" hidden="false" customHeight="false" outlineLevel="0" collapsed="false">
      <c r="A698" s="10"/>
      <c r="M698" s="10"/>
      <c r="P698" s="10"/>
    </row>
    <row r="699" customFormat="false" ht="15" hidden="false" customHeight="false" outlineLevel="0" collapsed="false">
      <c r="A699" s="10"/>
      <c r="M699" s="10"/>
      <c r="P699" s="10"/>
    </row>
    <row r="700" customFormat="false" ht="15" hidden="false" customHeight="false" outlineLevel="0" collapsed="false">
      <c r="A700" s="10"/>
      <c r="M700" s="10"/>
      <c r="P700" s="10"/>
    </row>
    <row r="701" customFormat="false" ht="15" hidden="false" customHeight="false" outlineLevel="0" collapsed="false">
      <c r="A701" s="10"/>
      <c r="M701" s="10"/>
      <c r="P701" s="10"/>
    </row>
    <row r="702" customFormat="false" ht="15" hidden="false" customHeight="false" outlineLevel="0" collapsed="false">
      <c r="A702" s="10"/>
      <c r="M702" s="10"/>
      <c r="P702" s="10"/>
    </row>
    <row r="703" customFormat="false" ht="15" hidden="false" customHeight="false" outlineLevel="0" collapsed="false">
      <c r="A703" s="10"/>
      <c r="M703" s="10"/>
      <c r="P703" s="10"/>
    </row>
    <row r="704" customFormat="false" ht="15" hidden="false" customHeight="false" outlineLevel="0" collapsed="false">
      <c r="A704" s="10"/>
      <c r="M704" s="10"/>
      <c r="P704" s="10"/>
    </row>
    <row r="705" customFormat="false" ht="15" hidden="false" customHeight="false" outlineLevel="0" collapsed="false">
      <c r="A705" s="10"/>
      <c r="M705" s="10"/>
      <c r="P705" s="10"/>
    </row>
    <row r="706" customFormat="false" ht="15" hidden="false" customHeight="false" outlineLevel="0" collapsed="false">
      <c r="A706" s="10"/>
      <c r="M706" s="10"/>
      <c r="P706" s="10"/>
    </row>
    <row r="707" customFormat="false" ht="15" hidden="false" customHeight="false" outlineLevel="0" collapsed="false">
      <c r="A707" s="10"/>
      <c r="M707" s="10"/>
      <c r="P707" s="10"/>
    </row>
    <row r="708" customFormat="false" ht="15" hidden="false" customHeight="false" outlineLevel="0" collapsed="false">
      <c r="A708" s="10"/>
      <c r="M708" s="10"/>
      <c r="P708" s="10"/>
    </row>
    <row r="709" customFormat="false" ht="15" hidden="false" customHeight="false" outlineLevel="0" collapsed="false">
      <c r="A709" s="10"/>
      <c r="M709" s="10"/>
      <c r="P709" s="10"/>
    </row>
    <row r="710" customFormat="false" ht="15" hidden="false" customHeight="false" outlineLevel="0" collapsed="false">
      <c r="A710" s="10"/>
      <c r="M710" s="10"/>
      <c r="P710" s="10"/>
    </row>
    <row r="711" customFormat="false" ht="15" hidden="false" customHeight="false" outlineLevel="0" collapsed="false">
      <c r="A711" s="10"/>
      <c r="M711" s="10"/>
      <c r="P711" s="10"/>
    </row>
    <row r="712" customFormat="false" ht="15" hidden="false" customHeight="false" outlineLevel="0" collapsed="false">
      <c r="A712" s="10"/>
      <c r="M712" s="10"/>
      <c r="P712" s="10"/>
    </row>
    <row r="713" customFormat="false" ht="15" hidden="false" customHeight="false" outlineLevel="0" collapsed="false">
      <c r="A713" s="10"/>
      <c r="M713" s="10"/>
      <c r="P713" s="10"/>
    </row>
    <row r="714" customFormat="false" ht="15" hidden="false" customHeight="false" outlineLevel="0" collapsed="false">
      <c r="A714" s="10"/>
      <c r="M714" s="10"/>
      <c r="P714" s="10"/>
    </row>
    <row r="715" customFormat="false" ht="15" hidden="false" customHeight="false" outlineLevel="0" collapsed="false">
      <c r="A715" s="10"/>
      <c r="M715" s="10"/>
      <c r="P715" s="10"/>
    </row>
    <row r="716" customFormat="false" ht="15" hidden="false" customHeight="false" outlineLevel="0" collapsed="false">
      <c r="A716" s="10"/>
      <c r="M716" s="10"/>
      <c r="P716" s="10"/>
    </row>
    <row r="717" customFormat="false" ht="15" hidden="false" customHeight="false" outlineLevel="0" collapsed="false">
      <c r="A717" s="10"/>
      <c r="M717" s="10"/>
      <c r="P717" s="10"/>
    </row>
    <row r="718" customFormat="false" ht="15" hidden="false" customHeight="false" outlineLevel="0" collapsed="false">
      <c r="A718" s="10"/>
      <c r="M718" s="10"/>
      <c r="P718" s="10"/>
    </row>
    <row r="719" customFormat="false" ht="15" hidden="false" customHeight="false" outlineLevel="0" collapsed="false">
      <c r="A719" s="10"/>
      <c r="M719" s="10"/>
      <c r="P719" s="10"/>
    </row>
    <row r="720" customFormat="false" ht="15" hidden="false" customHeight="false" outlineLevel="0" collapsed="false">
      <c r="A720" s="10"/>
      <c r="M720" s="10"/>
      <c r="P720" s="10"/>
    </row>
    <row r="721" customFormat="false" ht="15" hidden="false" customHeight="false" outlineLevel="0" collapsed="false">
      <c r="A721" s="10"/>
      <c r="M721" s="10"/>
      <c r="P721" s="10"/>
    </row>
    <row r="722" customFormat="false" ht="15" hidden="false" customHeight="false" outlineLevel="0" collapsed="false">
      <c r="A722" s="10"/>
      <c r="M722" s="10"/>
      <c r="P722" s="10"/>
    </row>
    <row r="723" customFormat="false" ht="15" hidden="false" customHeight="false" outlineLevel="0" collapsed="false">
      <c r="A723" s="10"/>
      <c r="M723" s="10"/>
      <c r="P723" s="10"/>
    </row>
    <row r="724" customFormat="false" ht="15" hidden="false" customHeight="false" outlineLevel="0" collapsed="false">
      <c r="A724" s="10"/>
      <c r="M724" s="10"/>
      <c r="P724" s="10"/>
    </row>
    <row r="725" customFormat="false" ht="15" hidden="false" customHeight="false" outlineLevel="0" collapsed="false">
      <c r="A725" s="10"/>
      <c r="M725" s="10"/>
      <c r="P725" s="10"/>
    </row>
    <row r="726" customFormat="false" ht="15" hidden="false" customHeight="false" outlineLevel="0" collapsed="false">
      <c r="A726" s="10"/>
      <c r="M726" s="10"/>
      <c r="P726" s="10"/>
    </row>
    <row r="727" customFormat="false" ht="15" hidden="false" customHeight="false" outlineLevel="0" collapsed="false">
      <c r="A727" s="10"/>
      <c r="M727" s="10"/>
      <c r="P727" s="10"/>
    </row>
    <row r="728" customFormat="false" ht="15" hidden="false" customHeight="false" outlineLevel="0" collapsed="false">
      <c r="A728" s="10"/>
      <c r="M728" s="10"/>
      <c r="P728" s="10"/>
    </row>
    <row r="729" customFormat="false" ht="15" hidden="false" customHeight="false" outlineLevel="0" collapsed="false">
      <c r="A729" s="10"/>
      <c r="M729" s="10"/>
      <c r="P729" s="10"/>
    </row>
    <row r="730" customFormat="false" ht="15" hidden="false" customHeight="false" outlineLevel="0" collapsed="false">
      <c r="A730" s="10"/>
      <c r="M730" s="10"/>
      <c r="P730" s="10"/>
    </row>
    <row r="731" customFormat="false" ht="15" hidden="false" customHeight="false" outlineLevel="0" collapsed="false">
      <c r="A731" s="10"/>
      <c r="M731" s="10"/>
      <c r="P731" s="10"/>
    </row>
    <row r="732" customFormat="false" ht="15" hidden="false" customHeight="false" outlineLevel="0" collapsed="false">
      <c r="A732" s="10"/>
      <c r="M732" s="10"/>
      <c r="P732" s="10"/>
    </row>
    <row r="733" customFormat="false" ht="15" hidden="false" customHeight="false" outlineLevel="0" collapsed="false">
      <c r="A733" s="10"/>
      <c r="M733" s="10"/>
      <c r="P733" s="10"/>
    </row>
    <row r="734" customFormat="false" ht="15" hidden="false" customHeight="false" outlineLevel="0" collapsed="false">
      <c r="A734" s="10"/>
      <c r="M734" s="10"/>
      <c r="P734" s="10"/>
    </row>
    <row r="735" customFormat="false" ht="15" hidden="false" customHeight="false" outlineLevel="0" collapsed="false">
      <c r="A735" s="10"/>
      <c r="M735" s="10"/>
      <c r="P735" s="10"/>
    </row>
    <row r="736" customFormat="false" ht="15" hidden="false" customHeight="false" outlineLevel="0" collapsed="false">
      <c r="A736" s="10"/>
      <c r="M736" s="10"/>
      <c r="P736" s="10"/>
    </row>
    <row r="737" customFormat="false" ht="15" hidden="false" customHeight="false" outlineLevel="0" collapsed="false">
      <c r="A737" s="10"/>
      <c r="M737" s="10"/>
      <c r="P737" s="10"/>
    </row>
    <row r="738" customFormat="false" ht="15" hidden="false" customHeight="false" outlineLevel="0" collapsed="false">
      <c r="A738" s="10"/>
      <c r="M738" s="10"/>
      <c r="P738" s="10"/>
    </row>
    <row r="739" customFormat="false" ht="15" hidden="false" customHeight="false" outlineLevel="0" collapsed="false">
      <c r="A739" s="10"/>
      <c r="M739" s="10"/>
      <c r="P739" s="10"/>
    </row>
    <row r="740" customFormat="false" ht="15" hidden="false" customHeight="false" outlineLevel="0" collapsed="false">
      <c r="A740" s="10"/>
      <c r="M740" s="10"/>
      <c r="P740" s="10"/>
    </row>
    <row r="741" customFormat="false" ht="15" hidden="false" customHeight="false" outlineLevel="0" collapsed="false">
      <c r="A741" s="10"/>
      <c r="M741" s="10"/>
      <c r="P741" s="10"/>
    </row>
    <row r="742" customFormat="false" ht="15" hidden="false" customHeight="false" outlineLevel="0" collapsed="false">
      <c r="A742" s="10"/>
      <c r="M742" s="10"/>
      <c r="P742" s="10"/>
    </row>
    <row r="743" customFormat="false" ht="15" hidden="false" customHeight="false" outlineLevel="0" collapsed="false">
      <c r="A743" s="10"/>
      <c r="M743" s="10"/>
      <c r="P743" s="10"/>
    </row>
    <row r="744" customFormat="false" ht="15" hidden="false" customHeight="false" outlineLevel="0" collapsed="false">
      <c r="A744" s="10"/>
      <c r="M744" s="10"/>
      <c r="P744" s="10"/>
    </row>
    <row r="745" customFormat="false" ht="15" hidden="false" customHeight="false" outlineLevel="0" collapsed="false">
      <c r="A745" s="10"/>
      <c r="M745" s="10"/>
      <c r="P745" s="10"/>
    </row>
    <row r="746" customFormat="false" ht="15" hidden="false" customHeight="false" outlineLevel="0" collapsed="false">
      <c r="A746" s="10"/>
      <c r="M746" s="10"/>
      <c r="P746" s="10"/>
    </row>
    <row r="747" customFormat="false" ht="15" hidden="false" customHeight="false" outlineLevel="0" collapsed="false">
      <c r="A747" s="10"/>
      <c r="M747" s="10"/>
      <c r="P747" s="10"/>
    </row>
    <row r="748" customFormat="false" ht="15" hidden="false" customHeight="false" outlineLevel="0" collapsed="false">
      <c r="A748" s="10"/>
      <c r="M748" s="10"/>
      <c r="P748" s="10"/>
    </row>
    <row r="749" customFormat="false" ht="15" hidden="false" customHeight="false" outlineLevel="0" collapsed="false">
      <c r="A749" s="10"/>
      <c r="M749" s="10"/>
      <c r="P749" s="10"/>
    </row>
    <row r="750" customFormat="false" ht="15" hidden="false" customHeight="false" outlineLevel="0" collapsed="false">
      <c r="A750" s="10"/>
      <c r="M750" s="10"/>
      <c r="P750" s="10"/>
    </row>
    <row r="751" customFormat="false" ht="15" hidden="false" customHeight="false" outlineLevel="0" collapsed="false">
      <c r="A751" s="10"/>
      <c r="M751" s="10"/>
      <c r="P751" s="10"/>
    </row>
    <row r="752" customFormat="false" ht="15" hidden="false" customHeight="false" outlineLevel="0" collapsed="false">
      <c r="A752" s="10"/>
      <c r="M752" s="10"/>
      <c r="P752" s="10"/>
    </row>
    <row r="753" customFormat="false" ht="15" hidden="false" customHeight="false" outlineLevel="0" collapsed="false">
      <c r="A753" s="10"/>
      <c r="M753" s="10"/>
      <c r="P753" s="10"/>
    </row>
    <row r="754" customFormat="false" ht="15" hidden="false" customHeight="false" outlineLevel="0" collapsed="false">
      <c r="A754" s="10"/>
      <c r="M754" s="10"/>
      <c r="P754" s="10"/>
    </row>
    <row r="755" customFormat="false" ht="15" hidden="false" customHeight="false" outlineLevel="0" collapsed="false">
      <c r="A755" s="10"/>
      <c r="M755" s="10"/>
      <c r="P755" s="10"/>
    </row>
    <row r="756" customFormat="false" ht="15" hidden="false" customHeight="false" outlineLevel="0" collapsed="false">
      <c r="A756" s="10"/>
      <c r="M756" s="10"/>
      <c r="P756" s="10"/>
    </row>
    <row r="757" customFormat="false" ht="15" hidden="false" customHeight="false" outlineLevel="0" collapsed="false">
      <c r="A757" s="10"/>
      <c r="M757" s="10"/>
      <c r="P757" s="10"/>
    </row>
    <row r="758" customFormat="false" ht="15" hidden="false" customHeight="false" outlineLevel="0" collapsed="false">
      <c r="A758" s="10"/>
      <c r="M758" s="10"/>
      <c r="P758" s="10"/>
    </row>
    <row r="759" customFormat="false" ht="15" hidden="false" customHeight="false" outlineLevel="0" collapsed="false">
      <c r="A759" s="10"/>
      <c r="M759" s="10"/>
      <c r="P759" s="10"/>
    </row>
    <row r="760" customFormat="false" ht="15" hidden="false" customHeight="false" outlineLevel="0" collapsed="false">
      <c r="A760" s="10"/>
      <c r="M760" s="10"/>
      <c r="P760" s="10"/>
    </row>
    <row r="761" customFormat="false" ht="15" hidden="false" customHeight="false" outlineLevel="0" collapsed="false">
      <c r="A761" s="10"/>
      <c r="M761" s="10"/>
      <c r="P761" s="10"/>
    </row>
    <row r="762" customFormat="false" ht="15" hidden="false" customHeight="false" outlineLevel="0" collapsed="false">
      <c r="A762" s="10"/>
      <c r="M762" s="10"/>
      <c r="P762" s="10"/>
    </row>
    <row r="763" customFormat="false" ht="15" hidden="false" customHeight="false" outlineLevel="0" collapsed="false">
      <c r="A763" s="10"/>
      <c r="M763" s="10"/>
      <c r="P763" s="10"/>
    </row>
    <row r="764" customFormat="false" ht="15" hidden="false" customHeight="false" outlineLevel="0" collapsed="false">
      <c r="A764" s="10"/>
      <c r="M764" s="10"/>
      <c r="P764" s="10"/>
    </row>
    <row r="765" customFormat="false" ht="15" hidden="false" customHeight="false" outlineLevel="0" collapsed="false">
      <c r="A765" s="10"/>
      <c r="M765" s="10"/>
      <c r="P765" s="10"/>
    </row>
    <row r="766" customFormat="false" ht="15" hidden="false" customHeight="false" outlineLevel="0" collapsed="false">
      <c r="A766" s="10"/>
      <c r="M766" s="10"/>
      <c r="P766" s="10"/>
    </row>
    <row r="767" customFormat="false" ht="15" hidden="false" customHeight="false" outlineLevel="0" collapsed="false">
      <c r="A767" s="10"/>
      <c r="M767" s="10"/>
      <c r="P767" s="10"/>
    </row>
    <row r="768" customFormat="false" ht="15" hidden="false" customHeight="false" outlineLevel="0" collapsed="false">
      <c r="A768" s="10"/>
      <c r="M768" s="10"/>
      <c r="P768" s="10"/>
    </row>
    <row r="769" customFormat="false" ht="15" hidden="false" customHeight="false" outlineLevel="0" collapsed="false">
      <c r="A769" s="10"/>
      <c r="M769" s="10"/>
      <c r="P769" s="10"/>
    </row>
    <row r="770" customFormat="false" ht="15" hidden="false" customHeight="false" outlineLevel="0" collapsed="false">
      <c r="A770" s="10"/>
      <c r="M770" s="10"/>
      <c r="P770" s="10"/>
    </row>
    <row r="771" customFormat="false" ht="15" hidden="false" customHeight="false" outlineLevel="0" collapsed="false">
      <c r="A771" s="10"/>
      <c r="M771" s="10"/>
      <c r="P771" s="10"/>
    </row>
    <row r="772" customFormat="false" ht="15" hidden="false" customHeight="false" outlineLevel="0" collapsed="false">
      <c r="A772" s="10"/>
      <c r="M772" s="10"/>
      <c r="P772" s="10"/>
    </row>
    <row r="773" customFormat="false" ht="15" hidden="false" customHeight="false" outlineLevel="0" collapsed="false">
      <c r="A773" s="10"/>
      <c r="M773" s="10"/>
      <c r="P773" s="10"/>
    </row>
    <row r="774" customFormat="false" ht="15" hidden="false" customHeight="false" outlineLevel="0" collapsed="false">
      <c r="A774" s="10"/>
      <c r="M774" s="10"/>
      <c r="P774" s="10"/>
    </row>
    <row r="775" customFormat="false" ht="15" hidden="false" customHeight="false" outlineLevel="0" collapsed="false">
      <c r="A775" s="10"/>
      <c r="M775" s="10"/>
      <c r="P775" s="10"/>
    </row>
    <row r="776" customFormat="false" ht="15" hidden="false" customHeight="false" outlineLevel="0" collapsed="false">
      <c r="A776" s="10"/>
      <c r="M776" s="10"/>
      <c r="P776" s="10"/>
    </row>
    <row r="777" customFormat="false" ht="15" hidden="false" customHeight="false" outlineLevel="0" collapsed="false">
      <c r="A777" s="10"/>
      <c r="M777" s="10"/>
      <c r="P777" s="10"/>
    </row>
    <row r="778" customFormat="false" ht="15" hidden="false" customHeight="false" outlineLevel="0" collapsed="false">
      <c r="A778" s="10"/>
      <c r="M778" s="10"/>
      <c r="P778" s="10"/>
    </row>
    <row r="779" customFormat="false" ht="15" hidden="false" customHeight="false" outlineLevel="0" collapsed="false">
      <c r="A779" s="10"/>
      <c r="M779" s="10"/>
      <c r="P779" s="10"/>
    </row>
    <row r="780" customFormat="false" ht="15" hidden="false" customHeight="false" outlineLevel="0" collapsed="false">
      <c r="A780" s="10"/>
      <c r="M780" s="10"/>
      <c r="P780" s="10"/>
    </row>
    <row r="781" customFormat="false" ht="15" hidden="false" customHeight="false" outlineLevel="0" collapsed="false">
      <c r="A781" s="10"/>
      <c r="M781" s="10"/>
      <c r="P781" s="10"/>
    </row>
    <row r="782" customFormat="false" ht="15" hidden="false" customHeight="false" outlineLevel="0" collapsed="false">
      <c r="A782" s="10"/>
      <c r="M782" s="10"/>
      <c r="P782" s="10"/>
    </row>
    <row r="783" customFormat="false" ht="15" hidden="false" customHeight="false" outlineLevel="0" collapsed="false">
      <c r="A783" s="10"/>
      <c r="M783" s="10"/>
      <c r="P783" s="10"/>
    </row>
    <row r="784" customFormat="false" ht="15" hidden="false" customHeight="false" outlineLevel="0" collapsed="false">
      <c r="A784" s="10"/>
      <c r="M784" s="10"/>
      <c r="P784" s="10"/>
    </row>
    <row r="785" customFormat="false" ht="15" hidden="false" customHeight="false" outlineLevel="0" collapsed="false">
      <c r="A785" s="10"/>
      <c r="M785" s="10"/>
      <c r="P785" s="10"/>
    </row>
    <row r="786" customFormat="false" ht="15" hidden="false" customHeight="false" outlineLevel="0" collapsed="false">
      <c r="A786" s="10"/>
      <c r="M786" s="10"/>
      <c r="P786" s="10"/>
    </row>
    <row r="787" customFormat="false" ht="15" hidden="false" customHeight="false" outlineLevel="0" collapsed="false">
      <c r="A787" s="10"/>
      <c r="M787" s="10"/>
      <c r="P787" s="10"/>
    </row>
    <row r="788" customFormat="false" ht="15" hidden="false" customHeight="false" outlineLevel="0" collapsed="false">
      <c r="A788" s="10"/>
      <c r="M788" s="10"/>
      <c r="P788" s="10"/>
    </row>
    <row r="789" customFormat="false" ht="15" hidden="false" customHeight="false" outlineLevel="0" collapsed="false">
      <c r="A789" s="10"/>
      <c r="M789" s="10"/>
      <c r="P789" s="10"/>
    </row>
    <row r="790" customFormat="false" ht="15" hidden="false" customHeight="false" outlineLevel="0" collapsed="false">
      <c r="A790" s="10"/>
      <c r="M790" s="10"/>
      <c r="P790" s="10"/>
    </row>
    <row r="791" customFormat="false" ht="15" hidden="false" customHeight="false" outlineLevel="0" collapsed="false">
      <c r="A791" s="10"/>
      <c r="M791" s="10"/>
      <c r="P791" s="10"/>
    </row>
    <row r="792" customFormat="false" ht="15" hidden="false" customHeight="false" outlineLevel="0" collapsed="false">
      <c r="A792" s="10"/>
      <c r="M792" s="10"/>
      <c r="P792" s="10"/>
    </row>
    <row r="793" customFormat="false" ht="15" hidden="false" customHeight="false" outlineLevel="0" collapsed="false">
      <c r="A793" s="10"/>
      <c r="M793" s="10"/>
      <c r="P793" s="10"/>
    </row>
    <row r="794" customFormat="false" ht="15" hidden="false" customHeight="false" outlineLevel="0" collapsed="false">
      <c r="A794" s="10"/>
      <c r="M794" s="10"/>
      <c r="P794" s="10"/>
    </row>
    <row r="795" customFormat="false" ht="15" hidden="false" customHeight="false" outlineLevel="0" collapsed="false">
      <c r="A795" s="10"/>
      <c r="M795" s="10"/>
      <c r="P795" s="10"/>
    </row>
    <row r="796" customFormat="false" ht="15" hidden="false" customHeight="false" outlineLevel="0" collapsed="false">
      <c r="A796" s="10"/>
      <c r="M796" s="10"/>
      <c r="P796" s="10"/>
    </row>
    <row r="797" customFormat="false" ht="15" hidden="false" customHeight="false" outlineLevel="0" collapsed="false">
      <c r="A797" s="10"/>
      <c r="M797" s="10"/>
      <c r="P797" s="10"/>
    </row>
    <row r="798" customFormat="false" ht="15" hidden="false" customHeight="false" outlineLevel="0" collapsed="false">
      <c r="A798" s="10"/>
      <c r="M798" s="10"/>
      <c r="P798" s="10"/>
    </row>
    <row r="799" customFormat="false" ht="15" hidden="false" customHeight="false" outlineLevel="0" collapsed="false">
      <c r="A799" s="10"/>
      <c r="M799" s="10"/>
      <c r="P799" s="10"/>
    </row>
    <row r="800" customFormat="false" ht="15" hidden="false" customHeight="false" outlineLevel="0" collapsed="false">
      <c r="A800" s="10"/>
      <c r="M800" s="10"/>
      <c r="P800" s="10"/>
    </row>
    <row r="801" customFormat="false" ht="15" hidden="false" customHeight="false" outlineLevel="0" collapsed="false">
      <c r="A801" s="10"/>
      <c r="M801" s="10"/>
      <c r="P801" s="10"/>
    </row>
    <row r="802" customFormat="false" ht="15" hidden="false" customHeight="false" outlineLevel="0" collapsed="false">
      <c r="A802" s="10"/>
      <c r="M802" s="10"/>
      <c r="P802" s="10"/>
    </row>
    <row r="803" customFormat="false" ht="15" hidden="false" customHeight="false" outlineLevel="0" collapsed="false">
      <c r="A803" s="10"/>
      <c r="M803" s="10"/>
      <c r="P803" s="10"/>
    </row>
    <row r="804" customFormat="false" ht="15" hidden="false" customHeight="false" outlineLevel="0" collapsed="false">
      <c r="A804" s="10"/>
      <c r="M804" s="10"/>
      <c r="P804" s="10"/>
    </row>
    <row r="805" customFormat="false" ht="15" hidden="false" customHeight="false" outlineLevel="0" collapsed="false">
      <c r="A805" s="10"/>
      <c r="M805" s="10"/>
      <c r="P805" s="10"/>
    </row>
    <row r="806" customFormat="false" ht="15" hidden="false" customHeight="false" outlineLevel="0" collapsed="false">
      <c r="A806" s="10"/>
      <c r="M806" s="10"/>
      <c r="P806" s="10"/>
    </row>
    <row r="807" customFormat="false" ht="15" hidden="false" customHeight="false" outlineLevel="0" collapsed="false">
      <c r="A807" s="10"/>
      <c r="M807" s="10"/>
      <c r="P807" s="10"/>
    </row>
    <row r="808" customFormat="false" ht="15" hidden="false" customHeight="false" outlineLevel="0" collapsed="false">
      <c r="A808" s="10"/>
      <c r="M808" s="10"/>
      <c r="P808" s="10"/>
    </row>
    <row r="809" customFormat="false" ht="15" hidden="false" customHeight="false" outlineLevel="0" collapsed="false">
      <c r="A809" s="10"/>
      <c r="M809" s="10"/>
      <c r="P809" s="10"/>
    </row>
    <row r="810" customFormat="false" ht="15" hidden="false" customHeight="false" outlineLevel="0" collapsed="false">
      <c r="A810" s="10"/>
      <c r="M810" s="10"/>
      <c r="P810" s="10"/>
    </row>
    <row r="811" customFormat="false" ht="15" hidden="false" customHeight="false" outlineLevel="0" collapsed="false">
      <c r="A811" s="10"/>
      <c r="M811" s="10"/>
      <c r="P811" s="10"/>
    </row>
    <row r="812" customFormat="false" ht="15" hidden="false" customHeight="false" outlineLevel="0" collapsed="false">
      <c r="A812" s="10"/>
      <c r="M812" s="10"/>
      <c r="P812" s="10"/>
    </row>
    <row r="813" customFormat="false" ht="15" hidden="false" customHeight="false" outlineLevel="0" collapsed="false">
      <c r="A813" s="10"/>
      <c r="M813" s="10"/>
      <c r="P813" s="10"/>
    </row>
    <row r="814" customFormat="false" ht="15" hidden="false" customHeight="false" outlineLevel="0" collapsed="false">
      <c r="A814" s="10"/>
      <c r="M814" s="10"/>
      <c r="P814" s="10"/>
    </row>
    <row r="815" customFormat="false" ht="15" hidden="false" customHeight="false" outlineLevel="0" collapsed="false">
      <c r="A815" s="10"/>
      <c r="M815" s="10"/>
      <c r="P815" s="10"/>
    </row>
    <row r="816" customFormat="false" ht="15" hidden="false" customHeight="false" outlineLevel="0" collapsed="false">
      <c r="A816" s="10"/>
      <c r="M816" s="10"/>
      <c r="P816" s="10"/>
    </row>
    <row r="817" customFormat="false" ht="15" hidden="false" customHeight="false" outlineLevel="0" collapsed="false">
      <c r="A817" s="10"/>
      <c r="M817" s="10"/>
      <c r="P817" s="10"/>
    </row>
    <row r="818" customFormat="false" ht="15" hidden="false" customHeight="false" outlineLevel="0" collapsed="false">
      <c r="A818" s="10"/>
      <c r="M818" s="10"/>
      <c r="P818" s="10"/>
    </row>
    <row r="819" customFormat="false" ht="15" hidden="false" customHeight="false" outlineLevel="0" collapsed="false">
      <c r="A819" s="10"/>
      <c r="M819" s="10"/>
      <c r="P819" s="10"/>
    </row>
    <row r="820" customFormat="false" ht="15" hidden="false" customHeight="false" outlineLevel="0" collapsed="false">
      <c r="A820" s="10"/>
      <c r="M820" s="10"/>
      <c r="P820" s="10"/>
    </row>
    <row r="821" customFormat="false" ht="15" hidden="false" customHeight="false" outlineLevel="0" collapsed="false">
      <c r="A821" s="10"/>
      <c r="M821" s="10"/>
      <c r="P821" s="10"/>
    </row>
    <row r="822" customFormat="false" ht="15" hidden="false" customHeight="false" outlineLevel="0" collapsed="false">
      <c r="A822" s="10"/>
      <c r="M822" s="10"/>
      <c r="P822" s="10"/>
    </row>
    <row r="823" customFormat="false" ht="15" hidden="false" customHeight="false" outlineLevel="0" collapsed="false">
      <c r="A823" s="10"/>
      <c r="M823" s="10"/>
      <c r="P823" s="10"/>
    </row>
    <row r="824" customFormat="false" ht="15" hidden="false" customHeight="false" outlineLevel="0" collapsed="false">
      <c r="A824" s="10"/>
      <c r="M824" s="10"/>
      <c r="P824" s="10"/>
    </row>
    <row r="825" customFormat="false" ht="15" hidden="false" customHeight="false" outlineLevel="0" collapsed="false">
      <c r="A825" s="10"/>
      <c r="M825" s="10"/>
      <c r="P825" s="10"/>
    </row>
    <row r="826" customFormat="false" ht="15" hidden="false" customHeight="false" outlineLevel="0" collapsed="false">
      <c r="A826" s="10"/>
      <c r="M826" s="10"/>
      <c r="P826" s="10"/>
    </row>
    <row r="827" customFormat="false" ht="15" hidden="false" customHeight="false" outlineLevel="0" collapsed="false">
      <c r="A827" s="10"/>
      <c r="M827" s="10"/>
      <c r="P827" s="10"/>
    </row>
    <row r="828" customFormat="false" ht="15" hidden="false" customHeight="false" outlineLevel="0" collapsed="false">
      <c r="A828" s="10"/>
      <c r="M828" s="10"/>
      <c r="P828" s="10"/>
    </row>
    <row r="829" customFormat="false" ht="15" hidden="false" customHeight="false" outlineLevel="0" collapsed="false">
      <c r="A829" s="10"/>
      <c r="M829" s="10"/>
      <c r="P829" s="10"/>
    </row>
    <row r="830" customFormat="false" ht="15" hidden="false" customHeight="false" outlineLevel="0" collapsed="false">
      <c r="A830" s="10"/>
      <c r="M830" s="10"/>
      <c r="P830" s="10"/>
    </row>
    <row r="831" customFormat="false" ht="15" hidden="false" customHeight="false" outlineLevel="0" collapsed="false">
      <c r="A831" s="10"/>
      <c r="M831" s="10"/>
      <c r="P831" s="10"/>
    </row>
    <row r="832" customFormat="false" ht="15" hidden="false" customHeight="false" outlineLevel="0" collapsed="false">
      <c r="A832" s="10"/>
      <c r="M832" s="10"/>
      <c r="P832" s="10"/>
    </row>
    <row r="833" customFormat="false" ht="15" hidden="false" customHeight="false" outlineLevel="0" collapsed="false">
      <c r="A833" s="10"/>
      <c r="M833" s="10"/>
      <c r="P833" s="10"/>
    </row>
    <row r="834" customFormat="false" ht="15" hidden="false" customHeight="false" outlineLevel="0" collapsed="false">
      <c r="A834" s="10"/>
      <c r="M834" s="10"/>
      <c r="P834" s="10"/>
    </row>
    <row r="835" customFormat="false" ht="15" hidden="false" customHeight="false" outlineLevel="0" collapsed="false">
      <c r="A835" s="10"/>
      <c r="M835" s="10"/>
      <c r="P835" s="10"/>
    </row>
    <row r="836" customFormat="false" ht="15" hidden="false" customHeight="false" outlineLevel="0" collapsed="false">
      <c r="A836" s="10"/>
      <c r="M836" s="10"/>
      <c r="P836" s="10"/>
    </row>
    <row r="837" customFormat="false" ht="15" hidden="false" customHeight="false" outlineLevel="0" collapsed="false">
      <c r="A837" s="10"/>
      <c r="M837" s="10"/>
      <c r="P837" s="10"/>
    </row>
    <row r="838" customFormat="false" ht="15" hidden="false" customHeight="false" outlineLevel="0" collapsed="false">
      <c r="A838" s="10"/>
      <c r="M838" s="10"/>
      <c r="P838" s="10"/>
    </row>
    <row r="839" customFormat="false" ht="15" hidden="false" customHeight="false" outlineLevel="0" collapsed="false">
      <c r="A839" s="10"/>
      <c r="M839" s="10"/>
      <c r="P839" s="10"/>
    </row>
    <row r="840" customFormat="false" ht="15" hidden="false" customHeight="false" outlineLevel="0" collapsed="false">
      <c r="A840" s="10"/>
      <c r="M840" s="10"/>
      <c r="P840" s="10"/>
    </row>
    <row r="841" customFormat="false" ht="15" hidden="false" customHeight="false" outlineLevel="0" collapsed="false">
      <c r="A841" s="10"/>
      <c r="M841" s="10"/>
      <c r="P841" s="10"/>
    </row>
    <row r="842" customFormat="false" ht="15" hidden="false" customHeight="false" outlineLevel="0" collapsed="false">
      <c r="A842" s="10"/>
      <c r="M842" s="10"/>
      <c r="P842" s="10"/>
    </row>
    <row r="843" customFormat="false" ht="15" hidden="false" customHeight="false" outlineLevel="0" collapsed="false">
      <c r="A843" s="10"/>
      <c r="M843" s="10"/>
      <c r="P843" s="10"/>
    </row>
    <row r="844" customFormat="false" ht="15" hidden="false" customHeight="false" outlineLevel="0" collapsed="false">
      <c r="A844" s="10"/>
      <c r="M844" s="10"/>
      <c r="P844" s="10"/>
    </row>
    <row r="845" customFormat="false" ht="15" hidden="false" customHeight="false" outlineLevel="0" collapsed="false">
      <c r="A845" s="10"/>
      <c r="M845" s="10"/>
      <c r="P845" s="10"/>
    </row>
    <row r="846" customFormat="false" ht="15" hidden="false" customHeight="false" outlineLevel="0" collapsed="false">
      <c r="A846" s="10"/>
      <c r="M846" s="10"/>
      <c r="P846" s="10"/>
    </row>
    <row r="847" customFormat="false" ht="15" hidden="false" customHeight="false" outlineLevel="0" collapsed="false">
      <c r="A847" s="10"/>
      <c r="M847" s="10"/>
      <c r="P847" s="10"/>
    </row>
    <row r="848" customFormat="false" ht="15" hidden="false" customHeight="false" outlineLevel="0" collapsed="false">
      <c r="A848" s="10"/>
      <c r="M848" s="10"/>
      <c r="P848" s="10"/>
    </row>
    <row r="849" customFormat="false" ht="15" hidden="false" customHeight="false" outlineLevel="0" collapsed="false">
      <c r="A849" s="10"/>
      <c r="M849" s="10"/>
      <c r="P849" s="10"/>
    </row>
    <row r="850" customFormat="false" ht="15" hidden="false" customHeight="false" outlineLevel="0" collapsed="false">
      <c r="A850" s="10"/>
      <c r="M850" s="10"/>
      <c r="P850" s="10"/>
    </row>
    <row r="851" customFormat="false" ht="15" hidden="false" customHeight="false" outlineLevel="0" collapsed="false">
      <c r="A851" s="10"/>
      <c r="M851" s="10"/>
      <c r="P851" s="10"/>
    </row>
    <row r="852" customFormat="false" ht="15" hidden="false" customHeight="false" outlineLevel="0" collapsed="false">
      <c r="A852" s="10"/>
      <c r="M852" s="10"/>
      <c r="P852" s="10"/>
    </row>
    <row r="853" customFormat="false" ht="15" hidden="false" customHeight="false" outlineLevel="0" collapsed="false">
      <c r="A853" s="10"/>
      <c r="M853" s="10"/>
      <c r="P853" s="10"/>
    </row>
    <row r="854" customFormat="false" ht="15" hidden="false" customHeight="false" outlineLevel="0" collapsed="false">
      <c r="A854" s="10"/>
      <c r="M854" s="10"/>
      <c r="P854" s="10"/>
    </row>
    <row r="855" customFormat="false" ht="15" hidden="false" customHeight="false" outlineLevel="0" collapsed="false">
      <c r="A855" s="10"/>
      <c r="M855" s="10"/>
      <c r="P855" s="10"/>
    </row>
    <row r="856" customFormat="false" ht="15" hidden="false" customHeight="false" outlineLevel="0" collapsed="false">
      <c r="A856" s="10"/>
      <c r="M856" s="10"/>
      <c r="P856" s="10"/>
    </row>
    <row r="857" customFormat="false" ht="15" hidden="false" customHeight="false" outlineLevel="0" collapsed="false">
      <c r="A857" s="10"/>
      <c r="M857" s="10"/>
      <c r="P857" s="10"/>
    </row>
    <row r="858" customFormat="false" ht="15" hidden="false" customHeight="false" outlineLevel="0" collapsed="false">
      <c r="A858" s="10"/>
      <c r="M858" s="10"/>
      <c r="P858" s="10"/>
    </row>
    <row r="859" customFormat="false" ht="15" hidden="false" customHeight="false" outlineLevel="0" collapsed="false">
      <c r="A859" s="10"/>
      <c r="M859" s="10"/>
      <c r="P859" s="10"/>
    </row>
    <row r="860" customFormat="false" ht="15" hidden="false" customHeight="false" outlineLevel="0" collapsed="false">
      <c r="A860" s="10"/>
      <c r="M860" s="10"/>
      <c r="P860" s="10"/>
    </row>
    <row r="861" customFormat="false" ht="15" hidden="false" customHeight="false" outlineLevel="0" collapsed="false">
      <c r="A861" s="10"/>
      <c r="M861" s="10"/>
      <c r="P861" s="10"/>
    </row>
    <row r="862" customFormat="false" ht="15" hidden="false" customHeight="false" outlineLevel="0" collapsed="false">
      <c r="A862" s="10"/>
      <c r="M862" s="10"/>
      <c r="P862" s="10"/>
    </row>
    <row r="863" customFormat="false" ht="15" hidden="false" customHeight="false" outlineLevel="0" collapsed="false">
      <c r="A863" s="10"/>
      <c r="M863" s="10"/>
      <c r="P863" s="10"/>
    </row>
    <row r="864" customFormat="false" ht="15" hidden="false" customHeight="false" outlineLevel="0" collapsed="false">
      <c r="A864" s="10"/>
      <c r="M864" s="10"/>
      <c r="P864" s="10"/>
    </row>
    <row r="865" customFormat="false" ht="15" hidden="false" customHeight="false" outlineLevel="0" collapsed="false">
      <c r="A865" s="10"/>
      <c r="M865" s="10"/>
      <c r="P865" s="10"/>
    </row>
    <row r="866" customFormat="false" ht="15" hidden="false" customHeight="false" outlineLevel="0" collapsed="false">
      <c r="A866" s="10"/>
      <c r="M866" s="10"/>
      <c r="P866" s="10"/>
    </row>
    <row r="867" customFormat="false" ht="15" hidden="false" customHeight="false" outlineLevel="0" collapsed="false">
      <c r="A867" s="10"/>
      <c r="M867" s="10"/>
      <c r="P867" s="10"/>
    </row>
    <row r="868" customFormat="false" ht="15" hidden="false" customHeight="false" outlineLevel="0" collapsed="false">
      <c r="A868" s="10"/>
      <c r="M868" s="10"/>
      <c r="P868" s="10"/>
    </row>
    <row r="869" customFormat="false" ht="15" hidden="false" customHeight="false" outlineLevel="0" collapsed="false">
      <c r="A869" s="10"/>
      <c r="M869" s="10"/>
      <c r="P869" s="10"/>
    </row>
    <row r="870" customFormat="false" ht="15" hidden="false" customHeight="false" outlineLevel="0" collapsed="false">
      <c r="A870" s="10"/>
      <c r="M870" s="10"/>
      <c r="P870" s="10"/>
    </row>
    <row r="871" customFormat="false" ht="15" hidden="false" customHeight="false" outlineLevel="0" collapsed="false">
      <c r="A871" s="10"/>
      <c r="M871" s="10"/>
      <c r="P871" s="10"/>
    </row>
    <row r="872" customFormat="false" ht="15" hidden="false" customHeight="false" outlineLevel="0" collapsed="false">
      <c r="A872" s="10"/>
      <c r="M872" s="10"/>
      <c r="P872" s="10"/>
    </row>
    <row r="873" customFormat="false" ht="15" hidden="false" customHeight="false" outlineLevel="0" collapsed="false">
      <c r="A873" s="10"/>
      <c r="M873" s="10"/>
      <c r="P873" s="10"/>
    </row>
    <row r="874" customFormat="false" ht="15" hidden="false" customHeight="false" outlineLevel="0" collapsed="false">
      <c r="A874" s="10"/>
      <c r="M874" s="10"/>
      <c r="P874" s="10"/>
    </row>
    <row r="875" customFormat="false" ht="15" hidden="false" customHeight="false" outlineLevel="0" collapsed="false">
      <c r="A875" s="10"/>
      <c r="M875" s="10"/>
      <c r="P875" s="10"/>
    </row>
    <row r="876" customFormat="false" ht="15" hidden="false" customHeight="false" outlineLevel="0" collapsed="false">
      <c r="A876" s="10"/>
      <c r="M876" s="10"/>
      <c r="P876" s="10"/>
    </row>
    <row r="877" customFormat="false" ht="15" hidden="false" customHeight="false" outlineLevel="0" collapsed="false">
      <c r="A877" s="10"/>
      <c r="M877" s="10"/>
      <c r="P877" s="10"/>
    </row>
    <row r="878" customFormat="false" ht="15" hidden="false" customHeight="false" outlineLevel="0" collapsed="false">
      <c r="A878" s="10"/>
      <c r="M878" s="10"/>
      <c r="P878" s="10"/>
    </row>
    <row r="879" customFormat="false" ht="15" hidden="false" customHeight="false" outlineLevel="0" collapsed="false">
      <c r="A879" s="10"/>
      <c r="M879" s="10"/>
      <c r="P879" s="10"/>
    </row>
    <row r="880" customFormat="false" ht="15" hidden="false" customHeight="false" outlineLevel="0" collapsed="false">
      <c r="A880" s="10"/>
      <c r="M880" s="10"/>
      <c r="P880" s="10"/>
    </row>
    <row r="881" customFormat="false" ht="15" hidden="false" customHeight="false" outlineLevel="0" collapsed="false">
      <c r="A881" s="10"/>
      <c r="M881" s="10"/>
      <c r="P881" s="10"/>
    </row>
    <row r="882" customFormat="false" ht="15" hidden="false" customHeight="false" outlineLevel="0" collapsed="false">
      <c r="A882" s="10"/>
      <c r="M882" s="10"/>
      <c r="P882" s="10"/>
    </row>
    <row r="883" customFormat="false" ht="15" hidden="false" customHeight="false" outlineLevel="0" collapsed="false">
      <c r="A883" s="10"/>
      <c r="M883" s="10"/>
      <c r="P883" s="10"/>
    </row>
    <row r="884" customFormat="false" ht="15" hidden="false" customHeight="false" outlineLevel="0" collapsed="false">
      <c r="A884" s="10"/>
      <c r="M884" s="10"/>
      <c r="P884" s="10"/>
    </row>
    <row r="885" customFormat="false" ht="15" hidden="false" customHeight="false" outlineLevel="0" collapsed="false">
      <c r="A885" s="10"/>
      <c r="M885" s="10"/>
      <c r="P885" s="10"/>
    </row>
    <row r="886" customFormat="false" ht="15" hidden="false" customHeight="false" outlineLevel="0" collapsed="false">
      <c r="A886" s="10"/>
      <c r="M886" s="10"/>
      <c r="P886" s="10"/>
    </row>
    <row r="887" customFormat="false" ht="15" hidden="false" customHeight="false" outlineLevel="0" collapsed="false">
      <c r="A887" s="10"/>
      <c r="M887" s="10"/>
      <c r="P887" s="10"/>
    </row>
    <row r="888" customFormat="false" ht="15" hidden="false" customHeight="false" outlineLevel="0" collapsed="false">
      <c r="A888" s="10"/>
      <c r="M888" s="10"/>
      <c r="P888" s="10"/>
    </row>
    <row r="889" customFormat="false" ht="15" hidden="false" customHeight="false" outlineLevel="0" collapsed="false">
      <c r="A889" s="10"/>
      <c r="M889" s="10"/>
      <c r="P889" s="10"/>
    </row>
    <row r="890" customFormat="false" ht="15" hidden="false" customHeight="false" outlineLevel="0" collapsed="false">
      <c r="A890" s="10"/>
      <c r="M890" s="10"/>
      <c r="P890" s="10"/>
    </row>
    <row r="891" customFormat="false" ht="15" hidden="false" customHeight="false" outlineLevel="0" collapsed="false">
      <c r="A891" s="10"/>
      <c r="M891" s="10"/>
      <c r="P891" s="10"/>
    </row>
    <row r="892" customFormat="false" ht="15" hidden="false" customHeight="false" outlineLevel="0" collapsed="false">
      <c r="A892" s="10"/>
      <c r="M892" s="10"/>
      <c r="P892" s="10"/>
    </row>
    <row r="893" customFormat="false" ht="15" hidden="false" customHeight="false" outlineLevel="0" collapsed="false">
      <c r="A893" s="10"/>
      <c r="M893" s="10"/>
      <c r="P893" s="10"/>
    </row>
    <row r="894" customFormat="false" ht="15" hidden="false" customHeight="false" outlineLevel="0" collapsed="false">
      <c r="A894" s="10"/>
      <c r="M894" s="10"/>
      <c r="P894" s="10"/>
    </row>
    <row r="895" customFormat="false" ht="15" hidden="false" customHeight="false" outlineLevel="0" collapsed="false">
      <c r="A895" s="10"/>
      <c r="M895" s="10"/>
      <c r="P895" s="10"/>
    </row>
    <row r="896" customFormat="false" ht="15" hidden="false" customHeight="false" outlineLevel="0" collapsed="false">
      <c r="A896" s="10"/>
      <c r="M896" s="10"/>
      <c r="P896" s="10"/>
    </row>
    <row r="897" customFormat="false" ht="15" hidden="false" customHeight="false" outlineLevel="0" collapsed="false">
      <c r="A897" s="10"/>
      <c r="M897" s="10"/>
      <c r="P897" s="10"/>
    </row>
    <row r="898" customFormat="false" ht="15" hidden="false" customHeight="false" outlineLevel="0" collapsed="false">
      <c r="A898" s="10"/>
      <c r="M898" s="10"/>
      <c r="P898" s="10"/>
    </row>
    <row r="899" customFormat="false" ht="15" hidden="false" customHeight="false" outlineLevel="0" collapsed="false">
      <c r="A899" s="10"/>
      <c r="M899" s="10"/>
      <c r="P899" s="10"/>
    </row>
    <row r="900" customFormat="false" ht="15" hidden="false" customHeight="false" outlineLevel="0" collapsed="false">
      <c r="A900" s="10"/>
      <c r="M900" s="10"/>
      <c r="P900" s="10"/>
    </row>
    <row r="901" customFormat="false" ht="15" hidden="false" customHeight="false" outlineLevel="0" collapsed="false">
      <c r="A901" s="10"/>
      <c r="M901" s="10"/>
      <c r="P901" s="10"/>
    </row>
    <row r="902" customFormat="false" ht="15" hidden="false" customHeight="false" outlineLevel="0" collapsed="false">
      <c r="A902" s="10"/>
      <c r="M902" s="10"/>
      <c r="P902" s="10"/>
    </row>
    <row r="903" customFormat="false" ht="15" hidden="false" customHeight="false" outlineLevel="0" collapsed="false">
      <c r="A903" s="10"/>
      <c r="M903" s="10"/>
      <c r="P903" s="10"/>
    </row>
    <row r="904" customFormat="false" ht="15" hidden="false" customHeight="false" outlineLevel="0" collapsed="false">
      <c r="A904" s="10"/>
      <c r="M904" s="10"/>
      <c r="P904" s="10"/>
    </row>
    <row r="905" customFormat="false" ht="15" hidden="false" customHeight="false" outlineLevel="0" collapsed="false">
      <c r="A905" s="10"/>
      <c r="M905" s="10"/>
      <c r="P905" s="10"/>
    </row>
    <row r="906" customFormat="false" ht="15" hidden="false" customHeight="false" outlineLevel="0" collapsed="false">
      <c r="A906" s="10"/>
      <c r="M906" s="10"/>
      <c r="P906" s="10"/>
    </row>
    <row r="907" customFormat="false" ht="15" hidden="false" customHeight="false" outlineLevel="0" collapsed="false">
      <c r="A907" s="10"/>
      <c r="M907" s="10"/>
      <c r="P907" s="10"/>
    </row>
    <row r="908" customFormat="false" ht="15" hidden="false" customHeight="false" outlineLevel="0" collapsed="false">
      <c r="A908" s="10"/>
      <c r="M908" s="10"/>
      <c r="P908" s="10"/>
    </row>
    <row r="909" customFormat="false" ht="15" hidden="false" customHeight="false" outlineLevel="0" collapsed="false">
      <c r="A909" s="10"/>
      <c r="M909" s="10"/>
      <c r="P909" s="10"/>
    </row>
    <row r="910" customFormat="false" ht="15" hidden="false" customHeight="false" outlineLevel="0" collapsed="false">
      <c r="A910" s="10"/>
      <c r="M910" s="10"/>
      <c r="P910" s="10"/>
    </row>
    <row r="911" customFormat="false" ht="15" hidden="false" customHeight="false" outlineLevel="0" collapsed="false">
      <c r="A911" s="10"/>
      <c r="M911" s="10"/>
      <c r="P911" s="10"/>
    </row>
    <row r="912" customFormat="false" ht="15" hidden="false" customHeight="false" outlineLevel="0" collapsed="false">
      <c r="A912" s="10"/>
      <c r="M912" s="10"/>
      <c r="P912" s="10"/>
    </row>
    <row r="913" customFormat="false" ht="15" hidden="false" customHeight="false" outlineLevel="0" collapsed="false">
      <c r="A913" s="10"/>
      <c r="M913" s="10"/>
      <c r="P913" s="10"/>
    </row>
    <row r="914" customFormat="false" ht="15" hidden="false" customHeight="false" outlineLevel="0" collapsed="false">
      <c r="A914" s="10"/>
      <c r="M914" s="10"/>
      <c r="P914" s="10"/>
    </row>
    <row r="915" customFormat="false" ht="15" hidden="false" customHeight="false" outlineLevel="0" collapsed="false">
      <c r="A915" s="10"/>
      <c r="M915" s="10"/>
      <c r="P915" s="10"/>
    </row>
    <row r="916" customFormat="false" ht="15" hidden="false" customHeight="false" outlineLevel="0" collapsed="false">
      <c r="A916" s="10"/>
      <c r="M916" s="10"/>
      <c r="P916" s="10"/>
    </row>
    <row r="917" customFormat="false" ht="15" hidden="false" customHeight="false" outlineLevel="0" collapsed="false">
      <c r="A917" s="10"/>
      <c r="M917" s="10"/>
      <c r="P917" s="10"/>
    </row>
    <row r="918" customFormat="false" ht="15" hidden="false" customHeight="false" outlineLevel="0" collapsed="false">
      <c r="A918" s="10"/>
      <c r="M918" s="10"/>
      <c r="P918" s="10"/>
    </row>
    <row r="919" customFormat="false" ht="15" hidden="false" customHeight="false" outlineLevel="0" collapsed="false">
      <c r="A919" s="10"/>
      <c r="M919" s="10"/>
      <c r="P919" s="10"/>
    </row>
    <row r="920" customFormat="false" ht="15" hidden="false" customHeight="false" outlineLevel="0" collapsed="false">
      <c r="A920" s="10"/>
      <c r="M920" s="10"/>
      <c r="P920" s="10"/>
    </row>
    <row r="921" customFormat="false" ht="15" hidden="false" customHeight="false" outlineLevel="0" collapsed="false">
      <c r="A921" s="10"/>
      <c r="M921" s="10"/>
      <c r="P921" s="10"/>
    </row>
    <row r="922" customFormat="false" ht="15" hidden="false" customHeight="false" outlineLevel="0" collapsed="false">
      <c r="A922" s="10"/>
      <c r="M922" s="10"/>
      <c r="P922" s="10"/>
    </row>
    <row r="923" customFormat="false" ht="15" hidden="false" customHeight="false" outlineLevel="0" collapsed="false">
      <c r="A923" s="10"/>
      <c r="M923" s="10"/>
      <c r="P923" s="10"/>
    </row>
    <row r="924" customFormat="false" ht="15" hidden="false" customHeight="false" outlineLevel="0" collapsed="false">
      <c r="A924" s="10"/>
      <c r="M924" s="10"/>
      <c r="P924" s="10"/>
    </row>
    <row r="925" customFormat="false" ht="15" hidden="false" customHeight="false" outlineLevel="0" collapsed="false">
      <c r="A925" s="10"/>
      <c r="M925" s="10"/>
      <c r="P925" s="10"/>
    </row>
    <row r="926" customFormat="false" ht="15" hidden="false" customHeight="false" outlineLevel="0" collapsed="false">
      <c r="A926" s="10"/>
      <c r="M926" s="10"/>
      <c r="P926" s="10"/>
    </row>
    <row r="927" customFormat="false" ht="15" hidden="false" customHeight="false" outlineLevel="0" collapsed="false">
      <c r="A927" s="10"/>
      <c r="M927" s="10"/>
      <c r="P927" s="10"/>
    </row>
    <row r="928" customFormat="false" ht="15" hidden="false" customHeight="false" outlineLevel="0" collapsed="false">
      <c r="A928" s="10"/>
      <c r="M928" s="10"/>
      <c r="P928" s="10"/>
    </row>
    <row r="929" customFormat="false" ht="15" hidden="false" customHeight="false" outlineLevel="0" collapsed="false">
      <c r="A929" s="10"/>
      <c r="M929" s="10"/>
      <c r="P929" s="10"/>
    </row>
    <row r="930" customFormat="false" ht="15" hidden="false" customHeight="false" outlineLevel="0" collapsed="false">
      <c r="A930" s="10"/>
      <c r="M930" s="10"/>
      <c r="P930" s="10"/>
    </row>
    <row r="931" customFormat="false" ht="15" hidden="false" customHeight="false" outlineLevel="0" collapsed="false">
      <c r="A931" s="10"/>
      <c r="M931" s="10"/>
      <c r="P931" s="10"/>
    </row>
    <row r="932" customFormat="false" ht="15" hidden="false" customHeight="false" outlineLevel="0" collapsed="false">
      <c r="A932" s="10"/>
      <c r="M932" s="10"/>
      <c r="P932" s="10"/>
    </row>
    <row r="933" customFormat="false" ht="15" hidden="false" customHeight="false" outlineLevel="0" collapsed="false">
      <c r="A933" s="10"/>
      <c r="M933" s="10"/>
      <c r="P933" s="10"/>
    </row>
    <row r="934" customFormat="false" ht="15" hidden="false" customHeight="false" outlineLevel="0" collapsed="false">
      <c r="A934" s="10"/>
      <c r="M934" s="10"/>
      <c r="P934" s="10"/>
    </row>
    <row r="935" customFormat="false" ht="15" hidden="false" customHeight="false" outlineLevel="0" collapsed="false">
      <c r="A935" s="10"/>
      <c r="M935" s="10"/>
      <c r="P935" s="10"/>
    </row>
    <row r="936" customFormat="false" ht="15" hidden="false" customHeight="false" outlineLevel="0" collapsed="false">
      <c r="A936" s="10"/>
      <c r="M936" s="10"/>
      <c r="P936" s="10"/>
    </row>
    <row r="937" customFormat="false" ht="15" hidden="false" customHeight="false" outlineLevel="0" collapsed="false">
      <c r="A937" s="10"/>
      <c r="M937" s="10"/>
      <c r="P937" s="10"/>
    </row>
    <row r="938" customFormat="false" ht="15" hidden="false" customHeight="false" outlineLevel="0" collapsed="false">
      <c r="A938" s="10"/>
      <c r="M938" s="10"/>
      <c r="P938" s="10"/>
    </row>
    <row r="939" customFormat="false" ht="15" hidden="false" customHeight="false" outlineLevel="0" collapsed="false">
      <c r="A939" s="10"/>
      <c r="M939" s="10"/>
      <c r="P939" s="10"/>
    </row>
    <row r="940" customFormat="false" ht="15" hidden="false" customHeight="false" outlineLevel="0" collapsed="false">
      <c r="A940" s="10"/>
      <c r="M940" s="10"/>
      <c r="P940" s="10"/>
    </row>
    <row r="941" customFormat="false" ht="15" hidden="false" customHeight="false" outlineLevel="0" collapsed="false">
      <c r="A941" s="10"/>
      <c r="M941" s="10"/>
      <c r="P941" s="10"/>
    </row>
    <row r="942" customFormat="false" ht="15" hidden="false" customHeight="false" outlineLevel="0" collapsed="false">
      <c r="A942" s="10"/>
      <c r="M942" s="10"/>
      <c r="P942" s="10"/>
    </row>
    <row r="943" customFormat="false" ht="15" hidden="false" customHeight="false" outlineLevel="0" collapsed="false">
      <c r="A943" s="10"/>
      <c r="M943" s="10"/>
      <c r="P943" s="10"/>
    </row>
    <row r="944" customFormat="false" ht="15" hidden="false" customHeight="false" outlineLevel="0" collapsed="false">
      <c r="A944" s="10"/>
      <c r="M944" s="10"/>
      <c r="P944" s="10"/>
    </row>
    <row r="945" customFormat="false" ht="15" hidden="false" customHeight="false" outlineLevel="0" collapsed="false">
      <c r="A945" s="10"/>
      <c r="M945" s="10"/>
      <c r="P945" s="10"/>
    </row>
    <row r="946" customFormat="false" ht="15" hidden="false" customHeight="false" outlineLevel="0" collapsed="false">
      <c r="A946" s="10"/>
      <c r="M946" s="10"/>
      <c r="P946" s="10"/>
    </row>
    <row r="947" customFormat="false" ht="15" hidden="false" customHeight="false" outlineLevel="0" collapsed="false">
      <c r="A947" s="10"/>
      <c r="M947" s="10"/>
      <c r="P947" s="10"/>
    </row>
    <row r="948" customFormat="false" ht="15" hidden="false" customHeight="false" outlineLevel="0" collapsed="false">
      <c r="A948" s="10"/>
      <c r="M948" s="10"/>
      <c r="P948" s="10"/>
    </row>
    <row r="949" customFormat="false" ht="15" hidden="false" customHeight="false" outlineLevel="0" collapsed="false">
      <c r="A949" s="10"/>
      <c r="M949" s="10"/>
      <c r="P949" s="10"/>
    </row>
    <row r="950" customFormat="false" ht="15" hidden="false" customHeight="false" outlineLevel="0" collapsed="false">
      <c r="A950" s="10"/>
      <c r="M950" s="10"/>
      <c r="P950" s="10"/>
    </row>
    <row r="951" customFormat="false" ht="15" hidden="false" customHeight="false" outlineLevel="0" collapsed="false">
      <c r="A951" s="10"/>
      <c r="M951" s="10"/>
      <c r="P951" s="10"/>
    </row>
    <row r="952" customFormat="false" ht="15" hidden="false" customHeight="false" outlineLevel="0" collapsed="false">
      <c r="A952" s="10"/>
      <c r="M952" s="10"/>
      <c r="P952" s="10"/>
    </row>
    <row r="953" customFormat="false" ht="15" hidden="false" customHeight="false" outlineLevel="0" collapsed="false">
      <c r="A953" s="10"/>
      <c r="M953" s="10"/>
      <c r="P953" s="10"/>
    </row>
    <row r="954" customFormat="false" ht="15" hidden="false" customHeight="false" outlineLevel="0" collapsed="false">
      <c r="A954" s="10"/>
      <c r="M954" s="10"/>
      <c r="P954" s="10"/>
    </row>
    <row r="955" customFormat="false" ht="15" hidden="false" customHeight="false" outlineLevel="0" collapsed="false">
      <c r="A955" s="10"/>
      <c r="M955" s="10"/>
      <c r="P955" s="10"/>
    </row>
    <row r="956" customFormat="false" ht="15" hidden="false" customHeight="false" outlineLevel="0" collapsed="false">
      <c r="A956" s="10"/>
      <c r="M956" s="10"/>
      <c r="P956" s="10"/>
    </row>
    <row r="957" customFormat="false" ht="15" hidden="false" customHeight="false" outlineLevel="0" collapsed="false">
      <c r="A957" s="10"/>
      <c r="M957" s="10"/>
      <c r="P957" s="10"/>
    </row>
    <row r="958" customFormat="false" ht="15" hidden="false" customHeight="false" outlineLevel="0" collapsed="false">
      <c r="A958" s="10"/>
      <c r="M958" s="10"/>
      <c r="P958" s="10"/>
    </row>
    <row r="959" customFormat="false" ht="15" hidden="false" customHeight="false" outlineLevel="0" collapsed="false">
      <c r="A959" s="10"/>
      <c r="M959" s="10"/>
      <c r="P959" s="10"/>
    </row>
    <row r="960" customFormat="false" ht="15" hidden="false" customHeight="false" outlineLevel="0" collapsed="false">
      <c r="A960" s="10"/>
      <c r="M960" s="10"/>
      <c r="P960" s="10"/>
    </row>
    <row r="961" customFormat="false" ht="15" hidden="false" customHeight="false" outlineLevel="0" collapsed="false">
      <c r="A961" s="10"/>
      <c r="M961" s="10"/>
      <c r="P961" s="10"/>
    </row>
    <row r="962" customFormat="false" ht="15" hidden="false" customHeight="false" outlineLevel="0" collapsed="false">
      <c r="A962" s="10"/>
      <c r="M962" s="10"/>
      <c r="P962" s="10"/>
    </row>
    <row r="963" customFormat="false" ht="15" hidden="false" customHeight="false" outlineLevel="0" collapsed="false">
      <c r="A963" s="10"/>
      <c r="M963" s="10"/>
      <c r="P963" s="10"/>
    </row>
    <row r="964" customFormat="false" ht="15" hidden="false" customHeight="false" outlineLevel="0" collapsed="false">
      <c r="A964" s="10"/>
      <c r="M964" s="10"/>
      <c r="P964" s="10"/>
    </row>
    <row r="965" customFormat="false" ht="15" hidden="false" customHeight="false" outlineLevel="0" collapsed="false">
      <c r="A965" s="10"/>
      <c r="M965" s="10"/>
      <c r="P965" s="10"/>
    </row>
    <row r="966" customFormat="false" ht="15" hidden="false" customHeight="false" outlineLevel="0" collapsed="false">
      <c r="A966" s="10"/>
      <c r="M966" s="10"/>
      <c r="P966" s="10"/>
    </row>
    <row r="967" customFormat="false" ht="15" hidden="false" customHeight="false" outlineLevel="0" collapsed="false">
      <c r="A967" s="10"/>
      <c r="M967" s="10"/>
      <c r="P967" s="10"/>
    </row>
    <row r="968" customFormat="false" ht="15" hidden="false" customHeight="false" outlineLevel="0" collapsed="false">
      <c r="A968" s="10"/>
      <c r="M968" s="10"/>
      <c r="P968" s="10"/>
    </row>
    <row r="969" customFormat="false" ht="15" hidden="false" customHeight="false" outlineLevel="0" collapsed="false">
      <c r="A969" s="10"/>
      <c r="M969" s="10"/>
      <c r="P969" s="10"/>
    </row>
    <row r="970" customFormat="false" ht="15" hidden="false" customHeight="false" outlineLevel="0" collapsed="false">
      <c r="A970" s="10"/>
      <c r="M970" s="10"/>
      <c r="P970" s="10"/>
    </row>
    <row r="971" customFormat="false" ht="15" hidden="false" customHeight="false" outlineLevel="0" collapsed="false">
      <c r="A971" s="10"/>
      <c r="M971" s="10"/>
      <c r="P971" s="10"/>
    </row>
    <row r="972" customFormat="false" ht="15" hidden="false" customHeight="false" outlineLevel="0" collapsed="false">
      <c r="A972" s="10"/>
      <c r="M972" s="10"/>
      <c r="P972" s="10"/>
    </row>
    <row r="973" customFormat="false" ht="15" hidden="false" customHeight="false" outlineLevel="0" collapsed="false">
      <c r="A973" s="10"/>
      <c r="M973" s="10"/>
      <c r="P973" s="10"/>
    </row>
    <row r="974" customFormat="false" ht="15" hidden="false" customHeight="false" outlineLevel="0" collapsed="false">
      <c r="A974" s="10"/>
      <c r="M974" s="10"/>
      <c r="P974" s="10"/>
    </row>
    <row r="975" customFormat="false" ht="15" hidden="false" customHeight="false" outlineLevel="0" collapsed="false">
      <c r="A975" s="10"/>
      <c r="M975" s="10"/>
      <c r="P975" s="10"/>
    </row>
    <row r="976" customFormat="false" ht="15" hidden="false" customHeight="false" outlineLevel="0" collapsed="false">
      <c r="A976" s="10"/>
      <c r="M976" s="10"/>
      <c r="P976" s="10"/>
    </row>
    <row r="977" customFormat="false" ht="15" hidden="false" customHeight="false" outlineLevel="0" collapsed="false">
      <c r="A977" s="10"/>
      <c r="M977" s="10"/>
      <c r="P977" s="10"/>
    </row>
    <row r="978" customFormat="false" ht="15" hidden="false" customHeight="false" outlineLevel="0" collapsed="false">
      <c r="A978" s="10"/>
      <c r="M978" s="10"/>
      <c r="P978" s="10"/>
    </row>
    <row r="979" customFormat="false" ht="15" hidden="false" customHeight="false" outlineLevel="0" collapsed="false">
      <c r="A979" s="10"/>
      <c r="M979" s="10"/>
      <c r="P979" s="10"/>
    </row>
    <row r="980" customFormat="false" ht="15" hidden="false" customHeight="false" outlineLevel="0" collapsed="false">
      <c r="A980" s="10"/>
      <c r="M980" s="10"/>
      <c r="P980" s="10"/>
    </row>
    <row r="981" customFormat="false" ht="15" hidden="false" customHeight="false" outlineLevel="0" collapsed="false">
      <c r="A981" s="10"/>
      <c r="M981" s="10"/>
      <c r="P981" s="10"/>
    </row>
    <row r="982" customFormat="false" ht="15" hidden="false" customHeight="false" outlineLevel="0" collapsed="false">
      <c r="A982" s="10"/>
      <c r="M982" s="10"/>
      <c r="P982" s="10"/>
    </row>
    <row r="983" customFormat="false" ht="15" hidden="false" customHeight="false" outlineLevel="0" collapsed="false">
      <c r="A983" s="10"/>
      <c r="M983" s="10"/>
      <c r="P983" s="10"/>
    </row>
    <row r="984" customFormat="false" ht="15" hidden="false" customHeight="false" outlineLevel="0" collapsed="false">
      <c r="A984" s="10"/>
      <c r="M984" s="10"/>
      <c r="P984" s="10"/>
    </row>
    <row r="985" customFormat="false" ht="15" hidden="false" customHeight="false" outlineLevel="0" collapsed="false">
      <c r="A985" s="10"/>
      <c r="M985" s="10"/>
      <c r="P985" s="10"/>
    </row>
    <row r="986" customFormat="false" ht="15" hidden="false" customHeight="false" outlineLevel="0" collapsed="false">
      <c r="A986" s="10"/>
      <c r="M986" s="10"/>
      <c r="P986" s="10"/>
    </row>
    <row r="987" customFormat="false" ht="15" hidden="false" customHeight="false" outlineLevel="0" collapsed="false">
      <c r="A987" s="10"/>
      <c r="M987" s="10"/>
      <c r="P987" s="10"/>
    </row>
    <row r="988" customFormat="false" ht="15" hidden="false" customHeight="false" outlineLevel="0" collapsed="false">
      <c r="A988" s="10"/>
      <c r="M988" s="10"/>
      <c r="P988" s="10"/>
    </row>
    <row r="989" customFormat="false" ht="15" hidden="false" customHeight="false" outlineLevel="0" collapsed="false">
      <c r="A989" s="10"/>
      <c r="M989" s="10"/>
      <c r="P989" s="10"/>
    </row>
    <row r="990" customFormat="false" ht="15" hidden="false" customHeight="false" outlineLevel="0" collapsed="false">
      <c r="A990" s="10"/>
      <c r="M990" s="10"/>
      <c r="P990" s="10"/>
    </row>
    <row r="991" customFormat="false" ht="15" hidden="false" customHeight="false" outlineLevel="0" collapsed="false">
      <c r="A991" s="10"/>
      <c r="M991" s="10"/>
      <c r="P991" s="10"/>
    </row>
    <row r="992" customFormat="false" ht="15" hidden="false" customHeight="false" outlineLevel="0" collapsed="false">
      <c r="A992" s="10"/>
      <c r="M992" s="10"/>
      <c r="P992" s="10"/>
    </row>
    <row r="993" customFormat="false" ht="15" hidden="false" customHeight="false" outlineLevel="0" collapsed="false">
      <c r="A993" s="10"/>
      <c r="M993" s="10"/>
      <c r="P993" s="10"/>
    </row>
    <row r="994" customFormat="false" ht="15" hidden="false" customHeight="false" outlineLevel="0" collapsed="false">
      <c r="A994" s="10"/>
      <c r="M994" s="10"/>
      <c r="P994" s="10"/>
    </row>
    <row r="995" customFormat="false" ht="15" hidden="false" customHeight="false" outlineLevel="0" collapsed="false">
      <c r="A995" s="10"/>
      <c r="M995" s="10"/>
      <c r="P995" s="10"/>
    </row>
    <row r="996" customFormat="false" ht="15" hidden="false" customHeight="false" outlineLevel="0" collapsed="false">
      <c r="A996" s="10"/>
      <c r="M996" s="10"/>
      <c r="P996" s="10"/>
    </row>
    <row r="997" customFormat="false" ht="15" hidden="false" customHeight="false" outlineLevel="0" collapsed="false">
      <c r="A997" s="10"/>
      <c r="M997" s="10"/>
      <c r="P997" s="10"/>
    </row>
    <row r="998" customFormat="false" ht="15" hidden="false" customHeight="false" outlineLevel="0" collapsed="false">
      <c r="A998" s="10"/>
      <c r="M998" s="10"/>
      <c r="P998" s="10"/>
    </row>
    <row r="999" customFormat="false" ht="15" hidden="false" customHeight="false" outlineLevel="0" collapsed="false">
      <c r="A999" s="10"/>
      <c r="M999" s="10"/>
      <c r="P999" s="10"/>
    </row>
    <row r="1000" customFormat="false" ht="15" hidden="false" customHeight="false" outlineLevel="0" collapsed="false">
      <c r="A1000" s="10"/>
      <c r="M1000" s="10"/>
      <c r="P1000" s="10"/>
    </row>
  </sheetData>
  <autoFilter ref="A1:P1000"/>
  <conditionalFormatting sqref="K2:K1000">
    <cfRule type="expression" priority="2" aboveAverage="0" equalAverage="0" bottom="0" percent="0" rank="0" text="" dxfId="8">
      <formula>$K2="Applied"</formula>
    </cfRule>
    <cfRule type="expression" priority="3" aboveAverage="0" equalAverage="0" bottom="0" percent="0" rank="0" text="" dxfId="9">
      <formula>$K2="Interviewing"</formula>
    </cfRule>
    <cfRule type="expression" priority="4" aboveAverage="0" equalAverage="0" bottom="0" percent="0" rank="0" text="" dxfId="10">
      <formula>$K2="Offer"</formula>
    </cfRule>
    <cfRule type="expression" priority="5" aboveAverage="0" equalAverage="0" bottom="0" percent="0" rank="0" text="" dxfId="11">
      <formula>$K2="Rejected"</formula>
    </cfRule>
    <cfRule type="expression" priority="6" aboveAverage="0" equalAverage="0" bottom="0" percent="0" rank="0" text="" dxfId="12">
      <formula>$K2="Skipped"</formula>
    </cfRule>
    <cfRule type="expression" priority="7" aboveAverage="0" equalAverage="0" bottom="0" percent="0" rank="0" text="" dxfId="13">
      <formula>$K2="Approved"</formula>
    </cfRule>
  </conditionalFormatting>
  <conditionalFormatting sqref="P2:P1000">
    <cfRule type="expression" priority="8" aboveAverage="0" equalAverage="0" bottom="0" percent="0" rank="0" text="" dxfId="14">
      <formula>AND($P2&lt;&gt;"",$P2&lt;=TODAY(),$K2="Applied")</formula>
    </cfRule>
  </conditionalFormatting>
  <dataValidations count="4">
    <dataValidation allowBlank="true" error="Choose a status from the list." errorStyle="stop" errorTitle="Pick a status" operator="between" showDropDown="false" showErrorMessage="true" showInputMessage="false" sqref="K2:K1000" type="list">
      <formula1>Lists!$A$2:$A$8</formula1>
      <formula2>0</formula2>
    </dataValidation>
    <dataValidation allowBlank="true" error="Choose a track from the list (edit it on the Lists tab)." errorStyle="stop" errorTitle="Pick a track" operator="between" showDropDown="false" showErrorMessage="true" showInputMessage="false" sqref="O2:O1000" type="list">
      <formula1>Lists!$B$2:$B$11</formula1>
      <formula2>0</formula2>
    </dataValidation>
    <dataValidation allowBlank="true" error="Match is a whole number from 1 to 5." errorStyle="stop" errorTitle="1 to 5" operator="between" showDropDown="false" showErrorMessage="true" showInputMessage="false" sqref="G2:G1000" type="whole">
      <formula1>1</formula1>
      <formula2>5</formula2>
    </dataValidation>
    <dataValidation allowBlank="true" error="Type a date like 2026-10-22." errorStyle="stop" errorTitle="Date" operator="greaterThan" showDropDown="false" showErrorMessage="true" showInputMessage="false" sqref="A2:A1000 M2:M1000 P2:P1000" type="date">
      <formula1>DATE(2000,1,1)</formula1>
      <formula2>0</formula2>
    </dataValidation>
  </dataValidations>
  <hyperlinks>
    <hyperlink ref="I2" r:id="rId1" display="https://example.com/jobs/frontend-engineer"/>
    <hyperlink ref="I3" r:id="rId2" display="https://example.com/jobs/associate-cloud-engineer"/>
    <hyperlink ref="I4" r:id="rId3" display="https://example.com/jobs/soc-analyst-1"/>
    <hyperlink ref="I5" r:id="rId4" display="https://example.com/jobs/full-stack-engine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18"/>
    <col collapsed="false" customWidth="true" hidden="false" outlineLevel="0" max="5" min="5" style="0" width="14"/>
  </cols>
  <sheetData>
    <row r="1" customFormat="false" ht="22.05" hidden="false" customHeight="false" outlineLevel="0" collapsed="false">
      <c r="A1" s="11" t="s">
        <v>90</v>
      </c>
    </row>
    <row r="2" customFormat="false" ht="15" hidden="false" customHeight="false" outlineLevel="0" collapsed="false">
      <c r="A2" s="12" t="s">
        <v>91</v>
      </c>
    </row>
    <row r="3" customFormat="false" ht="16.15" hidden="false" customHeight="false" outlineLevel="0" collapsed="false">
      <c r="D3" s="13" t="s">
        <v>92</v>
      </c>
    </row>
    <row r="4" customFormat="false" ht="15" hidden="false" customHeight="false" outlineLevel="0" collapsed="false">
      <c r="A4" s="14" t="s">
        <v>93</v>
      </c>
      <c r="B4" s="15" t="n">
        <f aca="false">COUNTA(Tracker!$B$2:$B$1000)</f>
        <v>4</v>
      </c>
      <c r="D4" s="14" t="s">
        <v>79</v>
      </c>
      <c r="E4" s="14" t="n">
        <f aca="false">COUNTIF(Tracker!$K$2:$K$1000,D4)</f>
        <v>1</v>
      </c>
    </row>
    <row r="5" customFormat="false" ht="15" hidden="false" customHeight="false" outlineLevel="0" collapsed="false">
      <c r="A5" s="16" t="s">
        <v>94</v>
      </c>
      <c r="B5" s="15" t="n">
        <f aca="false">COUNTIF(Tracker!$K$2:$K$1000,"Applied")+COUNTIF(Tracker!$K$2:$K$1000,"Interviewing")+COUNTIF(Tracker!$K$2:$K$1000,"Offer")+COUNTIF(Tracker!$K$2:$K$1000,"Rejected")</f>
        <v>2</v>
      </c>
      <c r="D5" s="14" t="s">
        <v>69</v>
      </c>
      <c r="E5" s="14" t="n">
        <f aca="false">COUNTIF(Tracker!$K$2:$K$1000,D5)</f>
        <v>1</v>
      </c>
    </row>
    <row r="6" customFormat="false" ht="15" hidden="false" customHeight="false" outlineLevel="0" collapsed="false">
      <c r="A6" s="14" t="s">
        <v>95</v>
      </c>
      <c r="B6" s="15" t="n">
        <f aca="false">COUNTIF(Tracker!$K$2:$K$1000,"Interviewing")+COUNTIF(Tracker!$K$2:$K$1000,"Offer")</f>
        <v>1</v>
      </c>
      <c r="D6" s="14" t="s">
        <v>58</v>
      </c>
      <c r="E6" s="14" t="n">
        <f aca="false">COUNTIF(Tracker!$K$2:$K$1000,D6)</f>
        <v>1</v>
      </c>
    </row>
    <row r="7" customFormat="false" ht="15" hidden="false" customHeight="false" outlineLevel="0" collapsed="false">
      <c r="A7" s="16" t="s">
        <v>96</v>
      </c>
      <c r="B7" s="17" t="n">
        <f aca="false">IF(B5=0,0,B6/B5)</f>
        <v>0.5</v>
      </c>
      <c r="D7" s="14" t="s">
        <v>87</v>
      </c>
      <c r="E7" s="14" t="n">
        <f aca="false">COUNTIF(Tracker!$K$2:$K$1000,D7)</f>
        <v>1</v>
      </c>
    </row>
    <row r="8" customFormat="false" ht="15" hidden="false" customHeight="false" outlineLevel="0" collapsed="false">
      <c r="A8" s="14" t="s">
        <v>97</v>
      </c>
      <c r="B8" s="15" t="n">
        <f aca="true">COUNTIFS(Tracker!$M$2:$M$1000,"&gt;="&amp;(TODAY()-6),Tracker!$M$2:$M$1000,"&lt;="&amp;TODAY())</f>
        <v>1</v>
      </c>
      <c r="D8" s="14" t="s">
        <v>98</v>
      </c>
      <c r="E8" s="14" t="n">
        <f aca="false">COUNTIF(Tracker!$K$2:$K$1000,D8)</f>
        <v>0</v>
      </c>
    </row>
    <row r="9" customFormat="false" ht="15" hidden="false" customHeight="false" outlineLevel="0" collapsed="false">
      <c r="A9" s="14" t="s">
        <v>99</v>
      </c>
      <c r="B9" s="15" t="n">
        <f aca="true">COUNTIFS(Tracker!$P$2:$P$1000,"&lt;="&amp;TODAY(),Tracker!$K$2:$K$1000,"Applied")</f>
        <v>0</v>
      </c>
      <c r="D9" s="14" t="s">
        <v>100</v>
      </c>
      <c r="E9" s="14" t="n">
        <f aca="false">COUNTIF(Tracker!$K$2:$K$1000,D9)</f>
        <v>0</v>
      </c>
    </row>
    <row r="10" customFormat="false" ht="15" hidden="false" customHeight="false" outlineLevel="0" collapsed="false">
      <c r="A10" s="14" t="s">
        <v>101</v>
      </c>
      <c r="B10" s="18" t="n">
        <v>10</v>
      </c>
      <c r="D10" s="14" t="s">
        <v>102</v>
      </c>
      <c r="E10" s="14" t="n">
        <f aca="false">COUNTIF(Tracker!$K$2:$K$1000,D10)</f>
        <v>0</v>
      </c>
    </row>
    <row r="11" customFormat="false" ht="15" hidden="false" customHeight="false" outlineLevel="0" collapsed="false">
      <c r="A11" s="14" t="s">
        <v>103</v>
      </c>
      <c r="B11" s="17" t="n">
        <f aca="false">IF(B10=0,0,MIN(1,B8/B10))</f>
        <v>0.1</v>
      </c>
    </row>
    <row r="13" customFormat="false" ht="16.15" hidden="false" customHeight="false" outlineLevel="0" collapsed="false">
      <c r="D13" s="13" t="s">
        <v>104</v>
      </c>
    </row>
    <row r="14" customFormat="false" ht="15" hidden="false" customHeight="false" outlineLevel="0" collapsed="false">
      <c r="D14" s="14" t="str">
        <f aca="false">IF(Lists!B2="","",Lists!B2)</f>
        <v>SWE</v>
      </c>
      <c r="E14" s="14" t="n">
        <f aca="false">IF(D14="","",COUNTIF(Tracker!$O$2:$O$1000,D14))</f>
        <v>2</v>
      </c>
    </row>
    <row r="15" customFormat="false" ht="15" hidden="false" customHeight="false" outlineLevel="0" collapsed="false">
      <c r="D15" s="14" t="str">
        <f aca="false">IF(Lists!B3="","",Lists!B3)</f>
        <v>Cloud</v>
      </c>
      <c r="E15" s="14" t="n">
        <f aca="false">IF(D15="","",COUNTIF(Tracker!$O$2:$O$1000,D15))</f>
        <v>1</v>
      </c>
    </row>
    <row r="16" customFormat="false" ht="15" hidden="false" customHeight="false" outlineLevel="0" collapsed="false">
      <c r="D16" s="14" t="str">
        <f aca="false">IF(Lists!B4="","",Lists!B4)</f>
        <v>Cyber</v>
      </c>
      <c r="E16" s="14" t="n">
        <f aca="false">IF(D16="","",COUNTIF(Tracker!$O$2:$O$1000,D16))</f>
        <v>1</v>
      </c>
    </row>
    <row r="17" customFormat="false" ht="15" hidden="false" customHeight="false" outlineLevel="0" collapsed="false">
      <c r="D17" s="14" t="str">
        <f aca="false">IF(Lists!B5="","",Lists!B5)</f>
        <v>Other</v>
      </c>
      <c r="E17" s="14" t="n">
        <f aca="false">IF(D17="","",COUNTIF(Tracker!$O$2:$O$1000,D17))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4" min="4" style="0" width="80"/>
  </cols>
  <sheetData>
    <row r="1" customFormat="false" ht="15" hidden="false" customHeight="false" outlineLevel="0" collapsed="false">
      <c r="A1" s="19" t="s">
        <v>44</v>
      </c>
      <c r="B1" s="19" t="s">
        <v>48</v>
      </c>
      <c r="D1" s="12" t="s">
        <v>105</v>
      </c>
    </row>
    <row r="2" customFormat="false" ht="15" hidden="false" customHeight="false" outlineLevel="0" collapsed="false">
      <c r="A2" s="20" t="s">
        <v>79</v>
      </c>
      <c r="B2" s="20" t="s">
        <v>61</v>
      </c>
    </row>
    <row r="3" customFormat="false" ht="15" hidden="false" customHeight="false" outlineLevel="0" collapsed="false">
      <c r="A3" s="20" t="s">
        <v>69</v>
      </c>
      <c r="B3" s="20" t="s">
        <v>71</v>
      </c>
    </row>
    <row r="4" customFormat="false" ht="15" hidden="false" customHeight="false" outlineLevel="0" collapsed="false">
      <c r="A4" s="20" t="s">
        <v>58</v>
      </c>
      <c r="B4" s="20" t="s">
        <v>80</v>
      </c>
    </row>
    <row r="5" customFormat="false" ht="15" hidden="false" customHeight="false" outlineLevel="0" collapsed="false">
      <c r="A5" s="20" t="s">
        <v>87</v>
      </c>
      <c r="B5" s="20" t="s">
        <v>106</v>
      </c>
    </row>
    <row r="6" customFormat="false" ht="15" hidden="false" customHeight="false" outlineLevel="0" collapsed="false">
      <c r="A6" s="20" t="s">
        <v>98</v>
      </c>
    </row>
    <row r="7" customFormat="false" ht="15" hidden="false" customHeight="false" outlineLevel="0" collapsed="false">
      <c r="A7" s="20" t="s">
        <v>100</v>
      </c>
    </row>
    <row r="8" customFormat="false" ht="15" hidden="false" customHeight="false" outlineLevel="0" collapsed="false">
      <c r="A8" s="20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2026-10-22T15:16:58Z</dcterms:created>
  <dc:creator>openpyxl</dc:creator>
  <dc:description/>
  <dc:language>en-US</dc:language>
  <cp:lastModifiedBy/>
  <dcterms:modified xsi:type="dcterms:W3CDTF">2026-10-22T15:16:58Z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